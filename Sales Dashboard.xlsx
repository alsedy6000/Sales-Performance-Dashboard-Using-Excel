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Pro\Downloads\Sales Dashboard\"/>
    </mc:Choice>
  </mc:AlternateContent>
  <xr:revisionPtr revIDLastSave="0" documentId="13_ncr:1_{CF03E5C3-4136-4FDE-A988-556B58EDF7D6}" xr6:coauthVersionLast="47" xr6:coauthVersionMax="47" xr10:uidLastSave="{00000000-0000-0000-0000-000000000000}"/>
  <bookViews>
    <workbookView xWindow="-120" yWindow="-120" windowWidth="20730" windowHeight="11160" xr2:uid="{81B131B8-40DA-4A81-A236-8E00830B305E}"/>
  </bookViews>
  <sheets>
    <sheet name="Dashboard" sheetId="4" r:id="rId1"/>
    <sheet name="Table Data" sheetId="1" r:id="rId2"/>
    <sheet name="Piviot" sheetId="3" r:id="rId3"/>
  </sheets>
  <definedNames>
    <definedName name="_xlcn.WorksheetConnection_Datatable.xlsxTable1" hidden="1">Table1[]</definedName>
    <definedName name="Slicer_Customer_Type">#N/A</definedName>
    <definedName name="Slicer_Payment_Method">#N/A</definedName>
    <definedName name="Slicer_Region">#N/A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s>
  <extLst>
    <ext xmlns:x14="http://schemas.microsoft.com/office/spreadsheetml/2009/9/main" uri="{876F7934-8845-4945-9796-88D515C7AA90}">
      <x14:pivotCaches>
        <pivotCache cacheId="8"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Data table.xlsx!Table1"/>
        </x15:modelTables>
        <x15:extLst>
          <ext xmlns:x16="http://schemas.microsoft.com/office/spreadsheetml/2014/11/main" uri="{9835A34E-60A6-4A7C-AAB8-D5F71C897F49}">
            <x16:modelTimeGroupings>
              <x16:modelTimeGrouping tableName="Table1"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28" i="3" l="1"/>
  <c r="B28" i="3" s="1"/>
  <c r="A13" i="3"/>
  <c r="E12" i="3"/>
  <c r="F12" i="3" s="1"/>
  <c r="H12" i="3"/>
  <c r="I12" i="3" s="1"/>
  <c r="O12" i="3"/>
  <c r="T8" i="3"/>
  <c r="S8" i="3"/>
  <c r="S9" i="3"/>
  <c r="T9" i="3"/>
  <c r="S10" i="3"/>
  <c r="T10" i="3"/>
  <c r="S11" i="3"/>
  <c r="T11" i="3"/>
  <c r="R9" i="3"/>
  <c r="R10" i="3"/>
  <c r="R11" i="3"/>
  <c r="R8" i="3"/>
  <c r="E11" i="3"/>
  <c r="F11" i="3" s="1"/>
  <c r="L18" i="3"/>
  <c r="M18" i="3"/>
  <c r="O11" i="3"/>
  <c r="P12" i="3"/>
  <c r="O13" i="3"/>
  <c r="P13" i="3"/>
  <c r="O14" i="3"/>
  <c r="P14" i="3"/>
  <c r="O15" i="3"/>
  <c r="P15" i="3"/>
  <c r="O16" i="3"/>
  <c r="P16" i="3"/>
  <c r="P11" i="3"/>
  <c r="M19" i="3"/>
  <c r="M20" i="3"/>
  <c r="M21" i="3"/>
  <c r="M22" i="3"/>
  <c r="M23" i="3"/>
  <c r="M24" i="3"/>
  <c r="M25" i="3"/>
  <c r="M26" i="3"/>
  <c r="M27" i="3"/>
  <c r="M28" i="3"/>
  <c r="M29" i="3"/>
  <c r="M30" i="3"/>
  <c r="L19" i="3"/>
  <c r="L20" i="3"/>
  <c r="L21" i="3"/>
  <c r="L22" i="3"/>
  <c r="L23" i="3"/>
  <c r="L24" i="3"/>
  <c r="L25" i="3"/>
  <c r="L26" i="3"/>
  <c r="L27" i="3"/>
  <c r="L28" i="3"/>
  <c r="L29" i="3"/>
  <c r="L30" i="3"/>
  <c r="H15" i="3"/>
  <c r="I15" i="3" s="1"/>
  <c r="H14" i="3"/>
  <c r="I14" i="3" s="1"/>
  <c r="H13" i="3"/>
  <c r="I13" i="3" s="1"/>
  <c r="H11" i="3"/>
  <c r="I11" i="3" s="1"/>
  <c r="E15" i="3"/>
  <c r="F15" i="3" s="1"/>
  <c r="E14" i="3"/>
  <c r="F14" i="3" s="1"/>
  <c r="E13" i="3"/>
  <c r="F13" i="3" s="1"/>
  <c r="A32" i="3"/>
  <c r="B32" i="3" s="1"/>
  <c r="A31" i="3"/>
  <c r="B31" i="3" s="1"/>
  <c r="A30" i="3"/>
  <c r="B30" i="3" s="1"/>
  <c r="A29" i="3"/>
  <c r="B29" i="3" s="1"/>
  <c r="A27" i="3"/>
  <c r="B27" i="3" s="1"/>
  <c r="A15" i="3"/>
  <c r="B15" i="3" s="1"/>
  <c r="A14" i="3"/>
  <c r="B14" i="3" s="1"/>
  <c r="B13" i="3"/>
  <c r="A12" i="3"/>
  <c r="B12" i="3" s="1"/>
  <c r="A11" i="3"/>
  <c r="B11" i="3" s="1"/>
  <c r="C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EE7062-EEC3-4310-830D-A36AC8B84516}"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6A0D7E5-75BC-4FEE-8996-15A0B7EBF947}" name="WorksheetConnection_Data table.xlsx!Table1" type="102" refreshedVersion="7" minRefreshableVersion="5">
    <extLst>
      <ext xmlns:x15="http://schemas.microsoft.com/office/spreadsheetml/2010/11/main" uri="{DE250136-89BD-433C-8126-D09CA5730AF9}">
        <x15:connection id="Table1" autoDelete="1">
          <x15:rangePr sourceName="_xlcn.WorksheetConnection_Datatable.xlsxTable1"/>
        </x15:connection>
      </ext>
    </extLst>
  </connection>
</connections>
</file>

<file path=xl/sharedStrings.xml><?xml version="1.0" encoding="utf-8"?>
<sst xmlns="http://schemas.openxmlformats.org/spreadsheetml/2006/main" count="1281" uniqueCount="85">
  <si>
    <t>Date</t>
  </si>
  <si>
    <t>Product Name</t>
  </si>
  <si>
    <t>Category</t>
  </si>
  <si>
    <t>Sales Representative</t>
  </si>
  <si>
    <t>Region</t>
  </si>
  <si>
    <t>Quantity Sold</t>
  </si>
  <si>
    <t>Unit Price</t>
  </si>
  <si>
    <t>Total Sale</t>
  </si>
  <si>
    <t>Cost Price</t>
  </si>
  <si>
    <t>Profit</t>
  </si>
  <si>
    <t>Payment Method</t>
  </si>
  <si>
    <t>Order Status</t>
  </si>
  <si>
    <t>Region Manager</t>
  </si>
  <si>
    <t>Customer Type</t>
  </si>
  <si>
    <t>Table</t>
  </si>
  <si>
    <t>Home Goods</t>
  </si>
  <si>
    <t>Charlie</t>
  </si>
  <si>
    <t>West</t>
  </si>
  <si>
    <t>Credit Card</t>
  </si>
  <si>
    <t>Completed</t>
  </si>
  <si>
    <t>Lisa White</t>
  </si>
  <si>
    <t>Regular</t>
  </si>
  <si>
    <t>Curtains</t>
  </si>
  <si>
    <t>Bob</t>
  </si>
  <si>
    <t>East</t>
  </si>
  <si>
    <t>Cash</t>
  </si>
  <si>
    <t>Pending</t>
  </si>
  <si>
    <t>Tom Brown</t>
  </si>
  <si>
    <t>VIP</t>
  </si>
  <si>
    <t>Sneakers</t>
  </si>
  <si>
    <t>Clothing</t>
  </si>
  <si>
    <t>South</t>
  </si>
  <si>
    <t>Online Transfer</t>
  </si>
  <si>
    <t>Cancelled</t>
  </si>
  <si>
    <t>Mark Davis</t>
  </si>
  <si>
    <t>New</t>
  </si>
  <si>
    <t>Chair</t>
  </si>
  <si>
    <t>Sarah Johnson</t>
  </si>
  <si>
    <t>Lamp</t>
  </si>
  <si>
    <t>Laptop</t>
  </si>
  <si>
    <t>Electronics</t>
  </si>
  <si>
    <t>T-Shirt</t>
  </si>
  <si>
    <t>Alice</t>
  </si>
  <si>
    <t>Yoga Mat</t>
  </si>
  <si>
    <t>Sports</t>
  </si>
  <si>
    <t>Tennis Racket</t>
  </si>
  <si>
    <t>North</t>
  </si>
  <si>
    <t>Dumbbells</t>
  </si>
  <si>
    <t>Eve</t>
  </si>
  <si>
    <t>Diana</t>
  </si>
  <si>
    <t>Smartphone</t>
  </si>
  <si>
    <t>Perfume</t>
  </si>
  <si>
    <t>Beauty</t>
  </si>
  <si>
    <t>Camera</t>
  </si>
  <si>
    <t>Headphones</t>
  </si>
  <si>
    <t>Football</t>
  </si>
  <si>
    <t>Shampoo</t>
  </si>
  <si>
    <t>Jeans</t>
  </si>
  <si>
    <t>Face Cream</t>
  </si>
  <si>
    <t>Jacket</t>
  </si>
  <si>
    <t>Lipstick</t>
  </si>
  <si>
    <t>Row Labels</t>
  </si>
  <si>
    <t>Grand Total</t>
  </si>
  <si>
    <t>Sum of Profit</t>
  </si>
  <si>
    <t>Profit Per Region</t>
  </si>
  <si>
    <t>Sum of Total Sale</t>
  </si>
  <si>
    <t xml:space="preserve">Sales Per Category </t>
  </si>
  <si>
    <t xml:space="preserve">Sales Per Regions Managers </t>
  </si>
  <si>
    <t>Jan</t>
  </si>
  <si>
    <t>Feb</t>
  </si>
  <si>
    <t>Mar</t>
  </si>
  <si>
    <t>Apr</t>
  </si>
  <si>
    <t>May</t>
  </si>
  <si>
    <t>Jun</t>
  </si>
  <si>
    <t>Jul</t>
  </si>
  <si>
    <t>Aug</t>
  </si>
  <si>
    <t>Sep</t>
  </si>
  <si>
    <t>Oct</t>
  </si>
  <si>
    <t>Nov</t>
  </si>
  <si>
    <t>Dec</t>
  </si>
  <si>
    <t>Count of Product Name</t>
  </si>
  <si>
    <t>Sum of Quantity Sold</t>
  </si>
  <si>
    <t>Sales Per Sellers</t>
  </si>
  <si>
    <t>Sales Per Month</t>
  </si>
  <si>
    <t>Sales Per Representative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</si>
</sst>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F800]dddd\,\ mmmm\ dd\,\ yyyy"/>
    <numFmt numFmtId="165" formatCode="_(&quot;$&quot;* #,##0_);_(&quot;$&quot;* \(#,##0\);_(&quot;$&quot;* &quot;-&quot;??_);_(@_)"/>
  </numFmts>
  <fonts count="8">
    <font>
      <sz val="11"/>
      <color theme="1"/>
      <name val="Arial"/>
      <family val="2"/>
      <scheme val="minor"/>
    </font>
    <font>
      <sz val="16"/>
      <color theme="1"/>
      <name val="Kulim Park"/>
    </font>
    <font>
      <sz val="11"/>
      <color theme="1"/>
      <name val="Arial"/>
      <family val="2"/>
      <scheme val="minor"/>
    </font>
    <font>
      <sz val="11"/>
      <color theme="1"/>
      <name val="Kulim Park"/>
    </font>
    <font>
      <sz val="11"/>
      <name val="Arial"/>
      <family val="2"/>
      <scheme val="minor"/>
    </font>
    <font>
      <b/>
      <sz val="11"/>
      <color theme="1"/>
      <name val="Arial"/>
      <family val="2"/>
      <scheme val="minor"/>
    </font>
    <font>
      <b/>
      <sz val="16"/>
      <name val="Kulim Park"/>
    </font>
    <font>
      <sz val="16"/>
      <name val="Kulim Park"/>
    </font>
  </fonts>
  <fills count="4">
    <fill>
      <patternFill patternType="none"/>
    </fill>
    <fill>
      <patternFill patternType="gray125"/>
    </fill>
    <fill>
      <patternFill patternType="solid">
        <fgColor theme="3" tint="0.499984740745262"/>
        <bgColor indexed="64"/>
      </patternFill>
    </fill>
    <fill>
      <patternFill patternType="solid">
        <fgColor rgb="FFFFC000"/>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2">
    <xf numFmtId="0" fontId="0" fillId="0" borderId="0"/>
    <xf numFmtId="44" fontId="2" fillId="0" borderId="0" applyFont="0" applyFill="0" applyBorder="0" applyAlignment="0" applyProtection="0"/>
  </cellStyleXfs>
  <cellXfs count="31">
    <xf numFmtId="0" fontId="0" fillId="0" borderId="0" xfId="0"/>
    <xf numFmtId="0" fontId="1" fillId="0" borderId="0" xfId="0" applyFont="1" applyAlignment="1">
      <alignment horizontal="center" vertical="center"/>
    </xf>
    <xf numFmtId="14" fontId="1" fillId="0" borderId="0" xfId="0" applyNumberFormat="1" applyFont="1" applyAlignment="1">
      <alignment horizontal="center" vertical="center"/>
    </xf>
    <xf numFmtId="0" fontId="0" fillId="0" borderId="0" xfId="0" applyFill="1"/>
    <xf numFmtId="0" fontId="3" fillId="0" borderId="0" xfId="0" pivotButton="1" applyFont="1"/>
    <xf numFmtId="0" fontId="3" fillId="0" borderId="0" xfId="0" applyFont="1"/>
    <xf numFmtId="0" fontId="3" fillId="0" borderId="0" xfId="0" applyFont="1" applyAlignment="1">
      <alignment horizontal="left"/>
    </xf>
    <xf numFmtId="165" fontId="3" fillId="0" borderId="0" xfId="1" applyNumberFormat="1" applyFont="1"/>
    <xf numFmtId="165" fontId="0" fillId="0" borderId="0" xfId="1" applyNumberFormat="1" applyFont="1"/>
    <xf numFmtId="164" fontId="4" fillId="0" borderId="0" xfId="0" applyNumberFormat="1" applyFont="1"/>
    <xf numFmtId="0" fontId="3" fillId="0" borderId="0" xfId="0" applyFont="1" applyFill="1" applyAlignment="1">
      <alignment horizontal="left"/>
    </xf>
    <xf numFmtId="165" fontId="3" fillId="0" borderId="0" xfId="0" applyNumberFormat="1" applyFont="1"/>
    <xf numFmtId="165" fontId="5" fillId="0" borderId="0" xfId="1" applyNumberFormat="1" applyFont="1"/>
    <xf numFmtId="0" fontId="5" fillId="0" borderId="0" xfId="0" applyFont="1"/>
    <xf numFmtId="0" fontId="0" fillId="0" borderId="0" xfId="0" applyNumberFormat="1"/>
    <xf numFmtId="0" fontId="3" fillId="0" borderId="0" xfId="0" applyNumberFormat="1" applyFont="1"/>
    <xf numFmtId="0" fontId="0" fillId="0" borderId="0" xfId="1" applyNumberFormat="1" applyFont="1"/>
    <xf numFmtId="0" fontId="3" fillId="0" borderId="1" xfId="0" applyFont="1" applyBorder="1"/>
    <xf numFmtId="0" fontId="3" fillId="0" borderId="2" xfId="0" applyFont="1" applyBorder="1"/>
    <xf numFmtId="0" fontId="3" fillId="0" borderId="3" xfId="0" applyFont="1" applyBorder="1"/>
    <xf numFmtId="165" fontId="3" fillId="0" borderId="4" xfId="0" applyNumberFormat="1" applyFont="1" applyBorder="1"/>
    <xf numFmtId="165" fontId="3" fillId="0" borderId="5" xfId="0" applyNumberFormat="1" applyFont="1" applyBorder="1"/>
    <xf numFmtId="165" fontId="3" fillId="0" borderId="6" xfId="0" applyNumberFormat="1" applyFont="1" applyBorder="1"/>
    <xf numFmtId="165" fontId="3" fillId="0" borderId="7" xfId="0" applyNumberFormat="1" applyFont="1" applyBorder="1"/>
    <xf numFmtId="165" fontId="3" fillId="0" borderId="8" xfId="0" applyNumberFormat="1" applyFont="1" applyBorder="1"/>
    <xf numFmtId="165" fontId="3" fillId="0" borderId="9" xfId="0" applyNumberFormat="1" applyFont="1" applyBorder="1"/>
    <xf numFmtId="0" fontId="7" fillId="0" borderId="0" xfId="0" applyFont="1" applyFill="1" applyAlignment="1">
      <alignment horizontal="center" vertical="center"/>
    </xf>
    <xf numFmtId="164" fontId="6" fillId="3" borderId="0" xfId="0" applyNumberFormat="1" applyFont="1" applyFill="1" applyAlignment="1">
      <alignment horizontal="center" vertical="center"/>
    </xf>
    <xf numFmtId="0" fontId="6" fillId="3" borderId="0" xfId="0" applyFont="1" applyFill="1" applyAlignment="1">
      <alignment horizontal="center" vertical="center"/>
    </xf>
    <xf numFmtId="49" fontId="6" fillId="3" borderId="0" xfId="0" applyNumberFormat="1" applyFont="1" applyFill="1" applyAlignment="1">
      <alignment horizontal="center" vertical="center"/>
    </xf>
    <xf numFmtId="0" fontId="0" fillId="2" borderId="0" xfId="0" applyFill="1" applyAlignment="1">
      <alignment horizontal="center" vertical="center"/>
    </xf>
  </cellXfs>
  <cellStyles count="2">
    <cellStyle name="Currency" xfId="1" builtinId="4"/>
    <cellStyle name="Normal" xfId="0" builtinId="0"/>
  </cellStyles>
  <dxfs count="94">
    <dxf>
      <numFmt numFmtId="165" formatCode="_(&quot;$&quot;* #,##0_);_(&quot;$&quot;* \(#,##0\);_(&quot;$&quot;* &quot;-&quot;??_);_(@_)"/>
    </dxf>
    <dxf>
      <font>
        <name val="Kulim Park"/>
        <scheme val="none"/>
      </font>
      <fill>
        <patternFill patternType="none">
          <fgColor indexed="64"/>
          <bgColor indexed="65"/>
        </patternFill>
      </fill>
      <alignment horizontal="left"/>
    </dxf>
    <dxf>
      <font>
        <sz val="11"/>
      </font>
    </dxf>
    <dxf>
      <font>
        <sz val="11"/>
      </font>
    </dxf>
    <dxf>
      <font>
        <sz val="11"/>
      </font>
    </dxf>
    <dxf>
      <font>
        <sz val="11"/>
      </font>
    </dxf>
    <dxf>
      <font>
        <name val="Kulim Park"/>
      </font>
    </dxf>
    <dxf>
      <font>
        <name val="Kulim Park"/>
      </font>
    </dxf>
    <dxf>
      <font>
        <name val="Kulim Park"/>
      </font>
    </dxf>
    <dxf>
      <numFmt numFmtId="0" formatCode="General"/>
    </dxf>
    <dxf>
      <font>
        <name val="Kulim Park"/>
        <scheme val="none"/>
      </font>
      <fill>
        <patternFill patternType="none">
          <fgColor indexed="64"/>
          <bgColor indexed="65"/>
        </patternFill>
      </fill>
      <alignment horizontal="left"/>
    </dxf>
    <dxf>
      <font>
        <sz val="11"/>
      </font>
    </dxf>
    <dxf>
      <font>
        <sz val="11"/>
      </font>
    </dxf>
    <dxf>
      <font>
        <sz val="11"/>
      </font>
    </dxf>
    <dxf>
      <font>
        <sz val="11"/>
      </font>
    </dxf>
    <dxf>
      <font>
        <name val="Kulim Park"/>
      </font>
    </dxf>
    <dxf>
      <font>
        <name val="Kulim Park"/>
      </font>
    </dxf>
    <dxf>
      <font>
        <name val="Kulim Park"/>
      </font>
    </dxf>
    <dxf>
      <numFmt numFmtId="165" formatCode="_(&quot;$&quot;* #,##0_);_(&quot;$&quot;* \(#,##0\);_(&quot;$&quot;* &quot;-&quot;??_);_(@_)"/>
    </dxf>
    <dxf>
      <font>
        <name val="Kulim Park"/>
        <scheme val="none"/>
      </font>
      <fill>
        <patternFill patternType="none">
          <fgColor indexed="64"/>
          <bgColor indexed="65"/>
        </patternFill>
      </fill>
      <alignment horizontal="left"/>
    </dxf>
    <dxf>
      <font>
        <sz val="11"/>
      </font>
    </dxf>
    <dxf>
      <font>
        <sz val="11"/>
      </font>
    </dxf>
    <dxf>
      <font>
        <sz val="11"/>
      </font>
    </dxf>
    <dxf>
      <font>
        <sz val="11"/>
      </font>
    </dxf>
    <dxf>
      <font>
        <name val="Kulim Park"/>
      </font>
    </dxf>
    <dxf>
      <font>
        <name val="Kulim Park"/>
      </font>
    </dxf>
    <dxf>
      <font>
        <name val="Kulim Park"/>
      </font>
    </dxf>
    <dxf>
      <numFmt numFmtId="165" formatCode="_(&quot;$&quot;* #,##0_);_(&quot;$&quot;* \(#,##0\);_(&quot;$&quot;* &quot;-&quot;??_);_(@_)"/>
    </dxf>
    <dxf>
      <font>
        <name val="Kulim Park"/>
        <scheme val="none"/>
      </font>
      <fill>
        <patternFill patternType="none">
          <fgColor indexed="64"/>
          <bgColor indexed="65"/>
        </patternFill>
      </fill>
      <alignment horizontal="left"/>
    </dxf>
    <dxf>
      <font>
        <sz val="11"/>
      </font>
    </dxf>
    <dxf>
      <font>
        <sz val="11"/>
      </font>
    </dxf>
    <dxf>
      <font>
        <sz val="11"/>
      </font>
    </dxf>
    <dxf>
      <font>
        <sz val="11"/>
      </font>
    </dxf>
    <dxf>
      <font>
        <name val="Kulim Park"/>
      </font>
    </dxf>
    <dxf>
      <font>
        <name val="Kulim Park"/>
      </font>
    </dxf>
    <dxf>
      <font>
        <name val="Kulim Park"/>
      </font>
    </dxf>
    <dxf>
      <numFmt numFmtId="165" formatCode="_(&quot;$&quot;* #,##0_);_(&quot;$&quot;* \(#,##0\);_(&quot;$&quot;* &quot;-&quot;??_);_(@_)"/>
    </dxf>
    <dxf>
      <font>
        <name val="Kulim Park"/>
        <scheme val="none"/>
      </font>
      <fill>
        <patternFill patternType="none">
          <fgColor indexed="64"/>
          <bgColor indexed="65"/>
        </patternFill>
      </fill>
      <alignment horizontal="left"/>
    </dxf>
    <dxf>
      <font>
        <sz val="11"/>
      </font>
    </dxf>
    <dxf>
      <font>
        <sz val="11"/>
      </font>
    </dxf>
    <dxf>
      <font>
        <sz val="11"/>
      </font>
    </dxf>
    <dxf>
      <font>
        <sz val="11"/>
      </font>
    </dxf>
    <dxf>
      <font>
        <name val="Kulim Park"/>
      </font>
    </dxf>
    <dxf>
      <font>
        <name val="Kulim Park"/>
      </font>
    </dxf>
    <dxf>
      <font>
        <name val="Kulim Park"/>
      </font>
    </dxf>
    <dxf>
      <numFmt numFmtId="165" formatCode="_(&quot;$&quot;* #,##0_);_(&quot;$&quot;* \(#,##0\);_(&quot;$&quot;* &quot;-&quot;??_);_(@_)"/>
    </dxf>
    <dxf>
      <font>
        <name val="Kulim Park"/>
        <scheme val="none"/>
      </font>
      <fill>
        <patternFill patternType="none">
          <fgColor indexed="64"/>
          <bgColor indexed="65"/>
        </patternFill>
      </fill>
      <alignment horizontal="left"/>
    </dxf>
    <dxf>
      <font>
        <name val="Kulim Park"/>
        <scheme val="none"/>
      </font>
      <fill>
        <patternFill patternType="none">
          <fgColor indexed="64"/>
          <bgColor indexed="65"/>
        </patternFill>
      </fill>
      <alignment horizontal="left"/>
    </dxf>
    <dxf>
      <font>
        <name val="Kulim Park"/>
        <scheme val="none"/>
      </font>
      <fill>
        <patternFill patternType="none">
          <fgColor indexed="64"/>
          <bgColor indexed="65"/>
        </patternFill>
      </fill>
      <alignment horizontal="left"/>
    </dxf>
    <dxf>
      <font>
        <sz val="11"/>
      </font>
    </dxf>
    <dxf>
      <font>
        <sz val="11"/>
      </font>
    </dxf>
    <dxf>
      <font>
        <sz val="11"/>
      </font>
    </dxf>
    <dxf>
      <font>
        <sz val="11"/>
      </font>
    </dxf>
    <dxf>
      <font>
        <sz val="11"/>
      </font>
    </dxf>
    <dxf>
      <font>
        <sz val="11"/>
      </font>
    </dxf>
    <dxf>
      <font>
        <name val="Kulim Park"/>
      </font>
    </dxf>
    <dxf>
      <font>
        <name val="Kulim Park"/>
      </font>
    </dxf>
    <dxf>
      <font>
        <name val="Kulim Park"/>
      </font>
    </dxf>
    <dxf>
      <numFmt numFmtId="165" formatCode="_(&quot;$&quot;* #,##0_);_(&quot;$&quot;* \(#,##0\);_(&quot;$&quot;* &quot;-&quot;??_);_(@_)"/>
    </dxf>
    <dxf>
      <font>
        <name val="Kulim Park"/>
        <scheme val="none"/>
      </font>
      <fill>
        <patternFill patternType="none">
          <fgColor indexed="64"/>
          <bgColor indexed="65"/>
        </patternFill>
      </fill>
      <alignment horizontal="left"/>
    </dxf>
    <dxf>
      <font>
        <sz val="11"/>
      </font>
    </dxf>
    <dxf>
      <font>
        <sz val="11"/>
      </font>
    </dxf>
    <dxf>
      <font>
        <sz val="11"/>
      </font>
    </dxf>
    <dxf>
      <font>
        <sz val="11"/>
      </font>
    </dxf>
    <dxf>
      <font>
        <name val="Kulim Park"/>
      </font>
    </dxf>
    <dxf>
      <font>
        <name val="Kulim Park"/>
      </font>
    </dxf>
    <dxf>
      <font>
        <name val="Kulim Park"/>
      </font>
    </dxf>
    <dxf>
      <numFmt numFmtId="165" formatCode="_(&quot;$&quot;* #,##0_);_(&quot;$&quot;* \(#,##0\);_(&quot;$&quot;* &quot;-&quot;??_);_(@_)"/>
    </dxf>
    <dxf>
      <font>
        <name val="Kulim Park"/>
        <scheme val="none"/>
      </font>
      <fill>
        <patternFill patternType="none">
          <fgColor indexed="64"/>
          <bgColor indexed="65"/>
        </patternFill>
      </fill>
      <alignment horizontal="left"/>
    </dxf>
    <dxf>
      <font>
        <sz val="11"/>
      </font>
    </dxf>
    <dxf>
      <font>
        <sz val="11"/>
      </font>
    </dxf>
    <dxf>
      <font>
        <sz val="11"/>
      </font>
    </dxf>
    <dxf>
      <font>
        <sz val="11"/>
      </font>
    </dxf>
    <dxf>
      <font>
        <name val="Kulim Park"/>
      </font>
    </dxf>
    <dxf>
      <font>
        <name val="Kulim Park"/>
      </font>
    </dxf>
    <dxf>
      <font>
        <name val="Kulim Park"/>
      </font>
    </dxf>
    <dxf>
      <font>
        <b val="0"/>
        <i val="0"/>
        <strike val="0"/>
        <condense val="0"/>
        <extend val="0"/>
        <outline val="0"/>
        <shadow val="0"/>
        <u val="none"/>
        <vertAlign val="baseline"/>
        <sz val="16"/>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6"/>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6"/>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6"/>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6"/>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6"/>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6"/>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6"/>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6"/>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6"/>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6"/>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6"/>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6"/>
        <color theme="1"/>
        <name val="Kulim Park"/>
        <scheme val="none"/>
      </font>
      <alignment horizontal="center" vertical="center" textRotation="0" wrapText="0" indent="0" justifyLastLine="0" shrinkToFit="0" readingOrder="0"/>
    </dxf>
    <dxf>
      <font>
        <b val="0"/>
        <i val="0"/>
        <strike val="0"/>
        <condense val="0"/>
        <extend val="0"/>
        <outline val="0"/>
        <shadow val="0"/>
        <u val="none"/>
        <vertAlign val="baseline"/>
        <sz val="16"/>
        <color theme="1"/>
        <name val="Kulim Park"/>
        <scheme val="none"/>
      </font>
      <numFmt numFmtId="19" formatCode="m/d/yyyy"/>
      <alignment horizontal="center" vertical="center" textRotation="0" wrapText="0" indent="0" justifyLastLine="0" shrinkToFit="0" readingOrder="0"/>
    </dxf>
    <dxf>
      <font>
        <b val="0"/>
        <i val="0"/>
        <strike val="0"/>
        <condense val="0"/>
        <extend val="0"/>
        <outline val="0"/>
        <shadow val="0"/>
        <u val="none"/>
        <vertAlign val="baseline"/>
        <sz val="16"/>
        <color theme="1"/>
        <name val="Kulim Park"/>
        <scheme val="none"/>
      </font>
      <alignment horizontal="center" vertical="center" textRotation="0" wrapText="0" indent="0" justifyLastLine="0" shrinkToFit="0" readingOrder="0"/>
    </dxf>
    <dxf>
      <font>
        <b/>
        <i val="0"/>
        <strike val="0"/>
        <condense val="0"/>
        <extend val="0"/>
        <outline val="0"/>
        <shadow val="0"/>
        <u val="none"/>
        <vertAlign val="baseline"/>
        <sz val="16"/>
        <color auto="1"/>
        <name val="Kulim Park"/>
        <scheme val="none"/>
      </font>
      <fill>
        <patternFill patternType="solid">
          <fgColor indexed="64"/>
          <bgColor rgb="FFFFC000"/>
        </patternFill>
      </fill>
      <alignment horizontal="center" vertical="center" textRotation="0" wrapText="0" indent="0" justifyLastLine="0" shrinkToFit="0" readingOrder="0"/>
    </dxf>
    <dxf>
      <font>
        <b/>
        <i val="0"/>
        <sz val="14"/>
        <color rgb="FF000000"/>
        <name val="Kufi Extended Outline"/>
        <family val="5"/>
        <charset val="178"/>
        <scheme val="none"/>
      </font>
      <fill>
        <patternFill>
          <fgColor rgb="FF000000"/>
          <bgColor rgb="FFFFC000"/>
        </patternFill>
      </fill>
    </dxf>
    <dxf>
      <fill>
        <patternFill>
          <fgColor rgb="FF000000"/>
          <bgColor rgb="FFFFC000"/>
        </patternFill>
      </fill>
    </dxf>
  </dxfs>
  <tableStyles count="2" defaultTableStyle="TableStyleMedium2" defaultPivotStyle="PivotStyleLight16">
    <tableStyle name="Slicer Style 1" pivot="0" table="0" count="0" xr9:uid="{C295A90F-EF1E-492F-9EF0-AC303812AF46}"/>
    <tableStyle name="Slicer Style 2" pivot="0" table="0" count="10" xr9:uid="{1B2D6813-93EF-4A37-8721-5AC392EE37D5}">
      <tableStyleElement type="wholeTable" dxfId="93"/>
      <tableStyleElement type="headerRow" dxfId="92"/>
    </tableStyle>
  </tableStyles>
  <colors>
    <mruColors>
      <color rgb="FFFFC000"/>
      <color rgb="FFF2BC1B"/>
      <color rgb="FF000000"/>
      <color rgb="FFF29F05"/>
      <color rgb="FFEF492D"/>
      <color rgb="FFCAA30A"/>
      <color rgb="FFB1BD13"/>
      <color rgb="FF262626"/>
      <color rgb="FFF2DB94"/>
      <color rgb="FFF6E7B8"/>
    </mruColors>
  </colors>
  <extLst>
    <ext xmlns:x14="http://schemas.microsoft.com/office/spreadsheetml/2009/9/main" uri="{46F421CA-312F-682f-3DD2-61675219B42D}">
      <x14:dxfs count="8">
        <dxf>
          <fill>
            <patternFill>
              <bgColor rgb="FFFFC000"/>
            </patternFill>
          </fill>
        </dxf>
        <dxf>
          <fill>
            <patternFill>
              <fgColor rgb="FFF2BC1B"/>
            </patternFill>
          </fill>
        </dxf>
        <dxf>
          <font>
            <b/>
            <i val="0"/>
            <sz val="16"/>
            <name val="Kulim Park"/>
          </font>
          <fill>
            <patternFill>
              <fgColor theme="1"/>
            </patternFill>
          </fill>
          <border>
            <left style="thick">
              <color rgb="FFFF0000"/>
            </left>
          </border>
        </dxf>
        <dxf>
          <font>
            <b/>
            <i val="0"/>
            <sz val="16"/>
            <name val="Kulim Park"/>
          </font>
          <fill>
            <patternFill>
              <fgColor theme="1"/>
            </patternFill>
          </fill>
          <border>
            <left style="thick">
              <color rgb="FFFF0000"/>
            </left>
          </border>
        </dxf>
        <dxf>
          <font>
            <b/>
            <i val="0"/>
            <sz val="12"/>
            <color theme="1"/>
            <name val="Kufi Extended Outline"/>
            <family val="5"/>
            <charset val="178"/>
            <scheme val="none"/>
          </font>
          <border diagonalUp="0" diagonalDown="0">
            <left/>
            <right/>
            <top/>
            <bottom/>
            <vertical/>
            <horizontal/>
          </border>
        </dxf>
        <dxf>
          <font>
            <b/>
            <i val="0"/>
            <sz val="16"/>
            <color rgb="FF000000"/>
            <name val="Kulim Park"/>
            <scheme val="none"/>
          </font>
          <border diagonalUp="0" diagonalDown="0">
            <left style="thick">
              <color rgb="FFFF0000"/>
            </left>
            <right/>
            <top/>
            <bottom/>
            <vertical/>
            <horizontal/>
          </border>
        </dxf>
        <dxf>
          <font>
            <b/>
            <i val="0"/>
            <sz val="10"/>
            <name val="kulim park"/>
          </font>
          <fill>
            <patternFill>
              <fgColor rgb="FFF2BC1B"/>
            </patternFill>
          </fill>
        </dxf>
        <dxf>
          <font>
            <b/>
            <i val="0"/>
            <sz val="14"/>
            <color theme="1" tint="0.34998626667073579"/>
            <name val="Kulim Park"/>
            <scheme val="none"/>
          </font>
          <border diagonalUp="0" diagonalDown="0">
            <left style="medium">
              <color rgb="FFFF0000"/>
            </left>
            <right/>
            <top/>
            <bottom/>
            <vertical/>
            <horizontal/>
          </border>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1.xml"/><Relationship Id="rId18" Type="http://schemas.openxmlformats.org/officeDocument/2006/relationships/styles" Target="styles.xml"/><Relationship Id="rId26" Type="http://schemas.openxmlformats.org/officeDocument/2006/relationships/customXml" Target="../customXml/item5.xml"/><Relationship Id="rId3" Type="http://schemas.openxmlformats.org/officeDocument/2006/relationships/worksheet" Target="worksheets/sheet3.xml"/><Relationship Id="rId21" Type="http://schemas.openxmlformats.org/officeDocument/2006/relationships/calcChain" Target="calcChain.xml"/><Relationship Id="rId34" Type="http://schemas.openxmlformats.org/officeDocument/2006/relationships/customXml" Target="../customXml/item13.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connections" Target="connections.xml"/><Relationship Id="rId25" Type="http://schemas.openxmlformats.org/officeDocument/2006/relationships/customXml" Target="../customXml/item4.xml"/><Relationship Id="rId33"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5" Type="http://schemas.openxmlformats.org/officeDocument/2006/relationships/pivotCacheDefinition" Target="pivotCache/pivotCacheDefinition2.xml"/><Relationship Id="rId15" Type="http://schemas.microsoft.com/office/2007/relationships/slicerCache" Target="slicerCaches/slicerCache3.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31" Type="http://schemas.openxmlformats.org/officeDocument/2006/relationships/customXml" Target="../customXml/item10.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2.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Dashboard.xlsx]Piviot!PivotTable2</c:name>
    <c:fmtId val="9"/>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Sales</a:t>
            </a:r>
            <a:r>
              <a:rPr lang="en-US" sz="1600" b="1" baseline="0">
                <a:solidFill>
                  <a:sysClr val="windowText" lastClr="000000"/>
                </a:solidFill>
              </a:rPr>
              <a:t> By Regions</a:t>
            </a:r>
            <a:endParaRPr lang="en-US" sz="1600" b="1">
              <a:solidFill>
                <a:sysClr val="windowText" lastClr="000000"/>
              </a:solidFill>
            </a:endParaRPr>
          </a:p>
        </c:rich>
      </c:tx>
      <c:layout>
        <c:manualLayout>
          <c:xMode val="edge"/>
          <c:yMode val="edge"/>
          <c:x val="4.5853453339918408E-2"/>
          <c:y val="2.4858750426953933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ar-E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2BC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2BC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2BC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Piviot!$F$2</c:f>
              <c:strCache>
                <c:ptCount val="1"/>
                <c:pt idx="0">
                  <c:v>Total</c:v>
                </c:pt>
              </c:strCache>
            </c:strRef>
          </c:tx>
          <c:spPr>
            <a:solidFill>
              <a:srgbClr val="F2BC1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Piviot!$E$3:$E$7</c:f>
              <c:strCache>
                <c:ptCount val="4"/>
                <c:pt idx="0">
                  <c:v>East</c:v>
                </c:pt>
                <c:pt idx="1">
                  <c:v>North</c:v>
                </c:pt>
                <c:pt idx="2">
                  <c:v>South</c:v>
                </c:pt>
                <c:pt idx="3">
                  <c:v>West</c:v>
                </c:pt>
              </c:strCache>
            </c:strRef>
          </c:cat>
          <c:val>
            <c:numRef>
              <c:f>Piviot!$F$3:$F$7</c:f>
              <c:numCache>
                <c:formatCode>_("$"* #,##0_);_("$"* \(#,##0\);_("$"* "-"??_);_(@_)</c:formatCode>
                <c:ptCount val="4"/>
                <c:pt idx="0">
                  <c:v>60100.99</c:v>
                </c:pt>
                <c:pt idx="1">
                  <c:v>50329.01</c:v>
                </c:pt>
                <c:pt idx="2">
                  <c:v>67158.789999999994</c:v>
                </c:pt>
                <c:pt idx="3">
                  <c:v>31182.52</c:v>
                </c:pt>
              </c:numCache>
            </c:numRef>
          </c:val>
          <c:extLst>
            <c:ext xmlns:c16="http://schemas.microsoft.com/office/drawing/2014/chart" uri="{C3380CC4-5D6E-409C-BE32-E72D297353CC}">
              <c16:uniqueId val="{00000000-A739-48CA-9EF1-1B7112D727F9}"/>
            </c:ext>
          </c:extLst>
        </c:ser>
        <c:dLbls>
          <c:dLblPos val="outEnd"/>
          <c:showLegendKey val="0"/>
          <c:showVal val="1"/>
          <c:showCatName val="0"/>
          <c:showSerName val="0"/>
          <c:showPercent val="0"/>
          <c:showBubbleSize val="0"/>
        </c:dLbls>
        <c:gapWidth val="122"/>
        <c:overlap val="-11"/>
        <c:axId val="531010880"/>
        <c:axId val="531008256"/>
      </c:barChart>
      <c:catAx>
        <c:axId val="531010880"/>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1050" b="1" i="0" u="none" strike="noStrike" kern="1200" baseline="0">
                <a:solidFill>
                  <a:sysClr val="windowText" lastClr="000000"/>
                </a:solidFill>
                <a:latin typeface="+mn-lt"/>
                <a:ea typeface="+mn-ea"/>
                <a:cs typeface="+mn-cs"/>
              </a:defRPr>
            </a:pPr>
            <a:endParaRPr lang="ar-EG"/>
          </a:p>
        </c:txPr>
        <c:crossAx val="531008256"/>
        <c:crosses val="autoZero"/>
        <c:auto val="1"/>
        <c:lblAlgn val="ctr"/>
        <c:lblOffset val="100"/>
        <c:noMultiLvlLbl val="0"/>
      </c:catAx>
      <c:valAx>
        <c:axId val="531008256"/>
        <c:scaling>
          <c:orientation val="minMax"/>
        </c:scaling>
        <c:delete val="1"/>
        <c:axPos val="b"/>
        <c:numFmt formatCode="_(&quot;$&quot;* #,##0_);_(&quot;$&quot;* \(#,##0\);_(&quot;$&quot;* &quot;-&quot;??_);_(@_)" sourceLinked="1"/>
        <c:majorTickMark val="out"/>
        <c:minorTickMark val="none"/>
        <c:tickLblPos val="nextTo"/>
        <c:crossAx val="531010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Dashboard.xlsx]Piviot!PivotTable5</c:name>
    <c:fmtId val="13"/>
  </c:pivotSource>
  <c:chart>
    <c:autoTitleDeleted val="1"/>
    <c:pivotFmts>
      <c:pivotFmt>
        <c:idx val="0"/>
        <c:spPr>
          <a:solidFill>
            <a:schemeClr val="accent1"/>
          </a:solidFill>
          <a:ln w="28575" cap="rnd">
            <a:solidFill>
              <a:srgbClr val="F2BC1B"/>
            </a:solidFill>
            <a:round/>
          </a:ln>
          <a:effectLst/>
        </c:spPr>
        <c:marker>
          <c:symbol val="none"/>
        </c:marker>
      </c:pivotFmt>
      <c:pivotFmt>
        <c:idx val="1"/>
        <c:spPr>
          <a:solidFill>
            <a:schemeClr val="accent1"/>
          </a:solidFill>
          <a:ln w="28575" cap="rnd">
            <a:solidFill>
              <a:srgbClr val="F2BC1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2BC1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Piviot!$M$2</c:f>
              <c:strCache>
                <c:ptCount val="1"/>
                <c:pt idx="0">
                  <c:v>Total</c:v>
                </c:pt>
              </c:strCache>
            </c:strRef>
          </c:tx>
          <c:spPr>
            <a:ln w="28575" cap="rnd">
              <a:solidFill>
                <a:srgbClr val="F2BC1B"/>
              </a:solidFill>
              <a:round/>
            </a:ln>
            <a:effectLst/>
          </c:spPr>
          <c:marker>
            <c:symbol val="none"/>
          </c:marker>
          <c:cat>
            <c:strRef>
              <c:f>Piviot!$L$3:$L$15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Piviot!$M$3:$M$15</c:f>
              <c:numCache>
                <c:formatCode>_("$"* #,##0_);_("$"* \(#,##0\);_("$"* "-"??_);_(@_)</c:formatCode>
                <c:ptCount val="12"/>
                <c:pt idx="0">
                  <c:v>24528.94</c:v>
                </c:pt>
                <c:pt idx="1">
                  <c:v>15451.27</c:v>
                </c:pt>
                <c:pt idx="2">
                  <c:v>17672.21</c:v>
                </c:pt>
                <c:pt idx="3">
                  <c:v>25578.95</c:v>
                </c:pt>
                <c:pt idx="4">
                  <c:v>20630.37</c:v>
                </c:pt>
                <c:pt idx="5">
                  <c:v>17614.05</c:v>
                </c:pt>
                <c:pt idx="6">
                  <c:v>15549.45</c:v>
                </c:pt>
                <c:pt idx="7">
                  <c:v>13249.36</c:v>
                </c:pt>
                <c:pt idx="8">
                  <c:v>33596.71</c:v>
                </c:pt>
                <c:pt idx="9">
                  <c:v>10508.74</c:v>
                </c:pt>
                <c:pt idx="10">
                  <c:v>9270.7800000000007</c:v>
                </c:pt>
                <c:pt idx="11">
                  <c:v>5120.4799999999996</c:v>
                </c:pt>
              </c:numCache>
            </c:numRef>
          </c:val>
          <c:smooth val="1"/>
          <c:extLst>
            <c:ext xmlns:c16="http://schemas.microsoft.com/office/drawing/2014/chart" uri="{C3380CC4-5D6E-409C-BE32-E72D297353CC}">
              <c16:uniqueId val="{00000000-800A-48AE-BE2C-AA47721477C2}"/>
            </c:ext>
          </c:extLst>
        </c:ser>
        <c:dLbls>
          <c:showLegendKey val="0"/>
          <c:showVal val="0"/>
          <c:showCatName val="0"/>
          <c:showSerName val="0"/>
          <c:showPercent val="0"/>
          <c:showBubbleSize val="0"/>
        </c:dLbls>
        <c:smooth val="0"/>
        <c:axId val="727006376"/>
        <c:axId val="727006048"/>
      </c:lineChart>
      <c:catAx>
        <c:axId val="72700637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ar-EG"/>
          </a:p>
        </c:txPr>
        <c:crossAx val="727006048"/>
        <c:crosses val="autoZero"/>
        <c:auto val="1"/>
        <c:lblAlgn val="ctr"/>
        <c:lblOffset val="100"/>
        <c:noMultiLvlLbl val="0"/>
      </c:catAx>
      <c:valAx>
        <c:axId val="727006048"/>
        <c:scaling>
          <c:orientation val="minMax"/>
        </c:scaling>
        <c:delete val="0"/>
        <c:axPos val="l"/>
        <c:majorGridlines>
          <c:spPr>
            <a:ln w="9525" cap="flat" cmpd="sng" algn="ctr">
              <a:solidFill>
                <a:schemeClr val="tx1"/>
              </a:solidFill>
              <a:round/>
            </a:ln>
            <a:effectLst/>
          </c:spPr>
        </c:majorGridlines>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ar-EG"/>
          </a:p>
        </c:txPr>
        <c:crossAx val="727006376"/>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ar-EG"/>
              </a:p>
            </c:txPr>
          </c:dispUnitsLbl>
        </c:dispUnits>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effectLst>
              <a:softEdge rad="0"/>
            </a:effectLst>
          </c:spPr>
          <c:dPt>
            <c:idx val="0"/>
            <c:bubble3D val="0"/>
            <c:spPr>
              <a:solidFill>
                <a:srgbClr val="F2BC1B"/>
              </a:solidFill>
              <a:ln w="19050">
                <a:solidFill>
                  <a:schemeClr val="lt1"/>
                </a:solidFill>
              </a:ln>
              <a:effectLst>
                <a:softEdge rad="0"/>
              </a:effectLst>
            </c:spPr>
            <c:extLst>
              <c:ext xmlns:c16="http://schemas.microsoft.com/office/drawing/2014/chart" uri="{C3380CC4-5D6E-409C-BE32-E72D297353CC}">
                <c16:uniqueId val="{00000001-6CA4-419F-ADF7-4D0976947270}"/>
              </c:ext>
            </c:extLst>
          </c:dPt>
          <c:dPt>
            <c:idx val="1"/>
            <c:bubble3D val="0"/>
            <c:spPr>
              <a:solidFill>
                <a:srgbClr val="EF492D"/>
              </a:solidFill>
              <a:ln w="19050">
                <a:solidFill>
                  <a:schemeClr val="lt1"/>
                </a:solidFill>
              </a:ln>
              <a:effectLst>
                <a:softEdge rad="0"/>
              </a:effectLst>
            </c:spPr>
            <c:extLst>
              <c:ext xmlns:c16="http://schemas.microsoft.com/office/drawing/2014/chart" uri="{C3380CC4-5D6E-409C-BE32-E72D297353CC}">
                <c16:uniqueId val="{00000003-6CA4-419F-ADF7-4D0976947270}"/>
              </c:ext>
            </c:extLst>
          </c:dPt>
          <c:dPt>
            <c:idx val="2"/>
            <c:bubble3D val="0"/>
            <c:spPr>
              <a:solidFill>
                <a:srgbClr val="00B0F0"/>
              </a:solidFill>
              <a:ln w="19050">
                <a:solidFill>
                  <a:schemeClr val="lt1"/>
                </a:solidFill>
              </a:ln>
              <a:effectLst>
                <a:softEdge rad="0"/>
              </a:effectLst>
            </c:spPr>
            <c:extLst>
              <c:ext xmlns:c16="http://schemas.microsoft.com/office/drawing/2014/chart" uri="{C3380CC4-5D6E-409C-BE32-E72D297353CC}">
                <c16:uniqueId val="{00000005-6CA4-419F-ADF7-4D0976947270}"/>
              </c:ext>
            </c:extLst>
          </c:dPt>
          <c:dLbls>
            <c:dLbl>
              <c:idx val="0"/>
              <c:tx>
                <c:rich>
                  <a:bodyPr rot="0" spcFirstLastPara="1" vertOverflow="ellipsis" vert="horz" wrap="square" lIns="38100" tIns="19050" rIns="38100" bIns="19050" anchor="ctr" anchorCtr="1">
                    <a:spAutoFit/>
                  </a:bodyPr>
                  <a:lstStyle/>
                  <a:p>
                    <a:pPr>
                      <a:defRPr lang="en-US" sz="1400" b="1" i="0" u="none" strike="noStrike" kern="1200" baseline="0">
                        <a:solidFill>
                          <a:schemeClr val="tx1"/>
                        </a:solidFill>
                        <a:latin typeface="Kulim Park"/>
                        <a:ea typeface="+mn-ea"/>
                        <a:cs typeface="+mn-cs"/>
                      </a:defRPr>
                    </a:pPr>
                    <a:fld id="{9CD353D5-EF15-4AA8-B4E8-6FD3DCA944AE}" type="PERCENTAGE">
                      <a:rPr lang="en-US" sz="1400" b="1" i="0" u="none" strike="noStrike" kern="1200" baseline="0">
                        <a:solidFill>
                          <a:schemeClr val="tx1"/>
                        </a:solidFill>
                        <a:latin typeface="Kulim Park"/>
                        <a:ea typeface="+mn-ea"/>
                        <a:cs typeface="+mn-cs"/>
                      </a:rPr>
                      <a:pPr>
                        <a:defRPr lang="en-US" sz="1400" b="1">
                          <a:solidFill>
                            <a:schemeClr val="tx1"/>
                          </a:solidFill>
                          <a:latin typeface="Kulim Park"/>
                        </a:defRPr>
                      </a:pPr>
                      <a:t>[PERCENTAGE]</a:t>
                    </a:fld>
                    <a:endParaRPr lang="ar-EG"/>
                  </a:p>
                </c:rich>
              </c:tx>
              <c:spPr>
                <a:noFill/>
                <a:ln>
                  <a:noFill/>
                </a:ln>
                <a:effectLst/>
              </c:spPr>
              <c:txPr>
                <a:bodyPr rot="0" spcFirstLastPara="1" vertOverflow="ellipsis" vert="horz" wrap="square" lIns="38100" tIns="19050" rIns="38100" bIns="19050" anchor="ctr" anchorCtr="1">
                  <a:spAutoFit/>
                </a:bodyPr>
                <a:lstStyle/>
                <a:p>
                  <a:pPr>
                    <a:defRPr lang="en-US" sz="1400" b="1" i="0" u="none" strike="noStrike" kern="1200" baseline="0">
                      <a:solidFill>
                        <a:schemeClr val="tx1"/>
                      </a:solidFill>
                      <a:latin typeface="Kulim Park"/>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CA4-419F-ADF7-4D0976947270}"/>
                </c:ext>
              </c:extLst>
            </c:dLbl>
            <c:dLbl>
              <c:idx val="1"/>
              <c:tx>
                <c:rich>
                  <a:bodyPr rot="0" spcFirstLastPara="1" vertOverflow="ellipsis" vert="horz" wrap="square" lIns="38100" tIns="19050" rIns="38100" bIns="19050" anchor="ctr" anchorCtr="0">
                    <a:spAutoFit/>
                  </a:bodyPr>
                  <a:lstStyle/>
                  <a:p>
                    <a:pPr algn="ctr" rtl="0">
                      <a:defRPr lang="en-US" sz="1400" b="1" i="0" u="none" strike="noStrike" kern="1200" baseline="0">
                        <a:solidFill>
                          <a:schemeClr val="tx1"/>
                        </a:solidFill>
                        <a:latin typeface="Kulim Park"/>
                        <a:ea typeface="+mn-ea"/>
                        <a:cs typeface="+mn-cs"/>
                      </a:defRPr>
                    </a:pPr>
                    <a:fld id="{FD95F41D-275A-486F-BE4C-EE99C15D7FDE}" type="PERCENTAGE">
                      <a:rPr lang="en-US" sz="1400" b="1" i="0" u="none" strike="noStrike" kern="1200" baseline="0">
                        <a:solidFill>
                          <a:schemeClr val="tx1"/>
                        </a:solidFill>
                        <a:latin typeface="Kulim Park"/>
                        <a:ea typeface="+mn-ea"/>
                        <a:cs typeface="+mn-cs"/>
                      </a:rPr>
                      <a:pPr algn="ctr" rtl="0">
                        <a:defRPr lang="en-US" sz="1400" b="1">
                          <a:solidFill>
                            <a:schemeClr val="tx1"/>
                          </a:solidFill>
                          <a:latin typeface="Kulim Park"/>
                        </a:defRPr>
                      </a:pPr>
                      <a:t>[PERCENTAGE]</a:t>
                    </a:fld>
                    <a:endParaRPr lang="ar-EG"/>
                  </a:p>
                </c:rich>
              </c:tx>
              <c:spPr>
                <a:noFill/>
                <a:ln>
                  <a:noFill/>
                </a:ln>
                <a:effectLst/>
              </c:spPr>
              <c:txPr>
                <a:bodyPr rot="0" spcFirstLastPara="1" vertOverflow="ellipsis" vert="horz" wrap="square" lIns="38100" tIns="19050" rIns="38100" bIns="19050" anchor="ctr" anchorCtr="0">
                  <a:spAutoFit/>
                </a:bodyPr>
                <a:lstStyle/>
                <a:p>
                  <a:pPr algn="ctr" rtl="0">
                    <a:defRPr lang="en-US" sz="1400" b="1" i="0" u="none" strike="noStrike" kern="1200" baseline="0">
                      <a:solidFill>
                        <a:schemeClr val="tx1"/>
                      </a:solidFill>
                      <a:latin typeface="Kulim Park"/>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CA4-419F-ADF7-4D0976947270}"/>
                </c:ext>
              </c:extLst>
            </c:dLbl>
            <c:dLbl>
              <c:idx val="2"/>
              <c:tx>
                <c:rich>
                  <a:bodyPr/>
                  <a:lstStyle/>
                  <a:p>
                    <a:fld id="{6156D4E8-942C-4587-B0A2-0B96D5F26979}" type="PERCENTAGE">
                      <a:rPr lang="en-US">
                        <a:latin typeface="Kulim Park"/>
                      </a:rPr>
                      <a:pPr/>
                      <a:t>[PERCENTAGE]</a:t>
                    </a:fld>
                    <a:endParaRPr lang="ar-EG"/>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6CA4-419F-ADF7-4D0976947270}"/>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ar-E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Piviot!$R$8:$R$10</c:f>
              <c:strCache>
                <c:ptCount val="3"/>
                <c:pt idx="0">
                  <c:v> Cancelled </c:v>
                </c:pt>
                <c:pt idx="1">
                  <c:v> Completed </c:v>
                </c:pt>
                <c:pt idx="2">
                  <c:v> Pending </c:v>
                </c:pt>
              </c:strCache>
            </c:strRef>
          </c:cat>
          <c:val>
            <c:numRef>
              <c:f>Piviot!$S$8:$S$10</c:f>
              <c:numCache>
                <c:formatCode>General</c:formatCode>
                <c:ptCount val="3"/>
                <c:pt idx="0">
                  <c:v>37</c:v>
                </c:pt>
                <c:pt idx="1">
                  <c:v>71</c:v>
                </c:pt>
                <c:pt idx="2">
                  <c:v>42</c:v>
                </c:pt>
              </c:numCache>
            </c:numRef>
          </c:val>
          <c:extLst>
            <c:ext xmlns:c16="http://schemas.microsoft.com/office/drawing/2014/chart" uri="{C3380CC4-5D6E-409C-BE32-E72D297353CC}">
              <c16:uniqueId val="{00000006-6CA4-419F-ADF7-4D0976947270}"/>
            </c:ext>
          </c:extLst>
        </c:ser>
        <c:dLbls>
          <c:showLegendKey val="0"/>
          <c:showVal val="0"/>
          <c:showCatName val="0"/>
          <c:showSerName val="0"/>
          <c:showPercent val="0"/>
          <c:showBubbleSize val="0"/>
          <c:showLeaderLines val="1"/>
        </c:dLbls>
        <c:firstSliceAng val="0"/>
        <c:holeSize val="65"/>
      </c:doughnutChart>
      <c:spPr>
        <a:noFill/>
        <a:ln>
          <a:noFill/>
        </a:ln>
        <a:effectLst/>
      </c:spPr>
    </c:plotArea>
    <c:legend>
      <c:legendPos val="b"/>
      <c:overlay val="0"/>
      <c:spPr>
        <a:noFill/>
        <a:ln>
          <a:noFill/>
        </a:ln>
        <a:effectLst/>
      </c:spPr>
      <c:txPr>
        <a:bodyPr rot="0" spcFirstLastPara="1" vertOverflow="ellipsis" vert="horz" wrap="square" anchor="ctr" anchorCtr="1"/>
        <a:lstStyle/>
        <a:p>
          <a:pPr algn="ctr" rtl="0">
            <a:defRPr lang="en-US" sz="1400" b="1" i="0" u="none" strike="noStrike" kern="1200" baseline="0">
              <a:solidFill>
                <a:schemeClr val="tx1"/>
              </a:solidFill>
              <a:latin typeface="Kulim Park"/>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ar-E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chart" Target="../charts/chart2.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image" Target="../media/image5.png"/><Relationship Id="rId10" Type="http://schemas.openxmlformats.org/officeDocument/2006/relationships/image" Target="../media/image6.png"/><Relationship Id="rId4" Type="http://schemas.openxmlformats.org/officeDocument/2006/relationships/image" Target="../media/image4.png"/><Relationship Id="rId9" Type="http://schemas.openxmlformats.org/officeDocument/2006/relationships/hyperlink" Target="#'Table Data'!A1"/></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xdr:from>
      <xdr:col>0</xdr:col>
      <xdr:colOff>17318</xdr:colOff>
      <xdr:row>0</xdr:row>
      <xdr:rowOff>70580</xdr:rowOff>
    </xdr:from>
    <xdr:to>
      <xdr:col>24</xdr:col>
      <xdr:colOff>103908</xdr:colOff>
      <xdr:row>44</xdr:row>
      <xdr:rowOff>157170</xdr:rowOff>
    </xdr:to>
    <xdr:sp macro="" textlink="">
      <xdr:nvSpPr>
        <xdr:cNvPr id="2" name="Rectangle: Rounded Corners 1">
          <a:extLst>
            <a:ext uri="{FF2B5EF4-FFF2-40B4-BE49-F238E27FC236}">
              <a16:creationId xmlns:a16="http://schemas.microsoft.com/office/drawing/2014/main" id="{7A5256A0-C407-4E67-A5E3-C253C48194BF}"/>
            </a:ext>
          </a:extLst>
        </xdr:cNvPr>
        <xdr:cNvSpPr/>
      </xdr:nvSpPr>
      <xdr:spPr>
        <a:xfrm>
          <a:off x="17318" y="70580"/>
          <a:ext cx="16476779" cy="7994137"/>
        </a:xfrm>
        <a:prstGeom prst="roundRect">
          <a:avLst>
            <a:gd name="adj" fmla="val 4713"/>
          </a:avLst>
        </a:prstGeom>
        <a:solidFill>
          <a:schemeClr val="tx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1</xdr:colOff>
      <xdr:row>0</xdr:row>
      <xdr:rowOff>67451</xdr:rowOff>
    </xdr:from>
    <xdr:to>
      <xdr:col>3</xdr:col>
      <xdr:colOff>103910</xdr:colOff>
      <xdr:row>44</xdr:row>
      <xdr:rowOff>171361</xdr:rowOff>
    </xdr:to>
    <xdr:sp macro="" textlink="">
      <xdr:nvSpPr>
        <xdr:cNvPr id="4" name="Rectangle: Top Corners Rounded 3">
          <a:extLst>
            <a:ext uri="{FF2B5EF4-FFF2-40B4-BE49-F238E27FC236}">
              <a16:creationId xmlns:a16="http://schemas.microsoft.com/office/drawing/2014/main" id="{C47E786F-C20D-4645-9B76-33C141D2440B}"/>
            </a:ext>
          </a:extLst>
        </xdr:cNvPr>
        <xdr:cNvSpPr/>
      </xdr:nvSpPr>
      <xdr:spPr>
        <a:xfrm rot="16200000">
          <a:off x="-3016250" y="3083702"/>
          <a:ext cx="8191805" cy="2159304"/>
        </a:xfrm>
        <a:prstGeom prst="round2Same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050"/>
        </a:p>
      </xdr:txBody>
    </xdr:sp>
    <xdr:clientData/>
  </xdr:twoCellAnchor>
  <xdr:twoCellAnchor>
    <xdr:from>
      <xdr:col>3</xdr:col>
      <xdr:colOff>588828</xdr:colOff>
      <xdr:row>6</xdr:row>
      <xdr:rowOff>51954</xdr:rowOff>
    </xdr:from>
    <xdr:to>
      <xdr:col>6</xdr:col>
      <xdr:colOff>398328</xdr:colOff>
      <xdr:row>15</xdr:row>
      <xdr:rowOff>17318</xdr:rowOff>
    </xdr:to>
    <xdr:sp macro="" textlink="">
      <xdr:nvSpPr>
        <xdr:cNvPr id="5" name="Rectangle: Rounded Corners 4">
          <a:extLst>
            <a:ext uri="{FF2B5EF4-FFF2-40B4-BE49-F238E27FC236}">
              <a16:creationId xmlns:a16="http://schemas.microsoft.com/office/drawing/2014/main" id="{933E3CD7-E64B-4A6B-9868-0346307F99DC}"/>
            </a:ext>
          </a:extLst>
        </xdr:cNvPr>
        <xdr:cNvSpPr/>
      </xdr:nvSpPr>
      <xdr:spPr>
        <a:xfrm>
          <a:off x="2667010" y="1091045"/>
          <a:ext cx="1887682" cy="1524000"/>
        </a:xfrm>
        <a:prstGeom prst="roundRect">
          <a:avLst/>
        </a:prstGeom>
        <a:solidFill>
          <a:srgbClr val="F2BC1B"/>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xdr:from>
      <xdr:col>6</xdr:col>
      <xdr:colOff>562850</xdr:colOff>
      <xdr:row>6</xdr:row>
      <xdr:rowOff>51954</xdr:rowOff>
    </xdr:from>
    <xdr:to>
      <xdr:col>9</xdr:col>
      <xdr:colOff>372351</xdr:colOff>
      <xdr:row>15</xdr:row>
      <xdr:rowOff>17318</xdr:rowOff>
    </xdr:to>
    <xdr:sp macro="" textlink="">
      <xdr:nvSpPr>
        <xdr:cNvPr id="9" name="Rectangle: Rounded Corners 8">
          <a:extLst>
            <a:ext uri="{FF2B5EF4-FFF2-40B4-BE49-F238E27FC236}">
              <a16:creationId xmlns:a16="http://schemas.microsoft.com/office/drawing/2014/main" id="{53723B00-1D10-49A0-862C-FE61DE287B52}"/>
            </a:ext>
          </a:extLst>
        </xdr:cNvPr>
        <xdr:cNvSpPr/>
      </xdr:nvSpPr>
      <xdr:spPr>
        <a:xfrm>
          <a:off x="4719214" y="1091045"/>
          <a:ext cx="1887682" cy="1524000"/>
        </a:xfrm>
        <a:prstGeom prst="roundRect">
          <a:avLst/>
        </a:prstGeom>
        <a:solidFill>
          <a:srgbClr val="262626"/>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xdr:from>
      <xdr:col>9</xdr:col>
      <xdr:colOff>536874</xdr:colOff>
      <xdr:row>6</xdr:row>
      <xdr:rowOff>51954</xdr:rowOff>
    </xdr:from>
    <xdr:to>
      <xdr:col>12</xdr:col>
      <xdr:colOff>346374</xdr:colOff>
      <xdr:row>15</xdr:row>
      <xdr:rowOff>17318</xdr:rowOff>
    </xdr:to>
    <xdr:sp macro="" textlink="">
      <xdr:nvSpPr>
        <xdr:cNvPr id="10" name="Rectangle: Rounded Corners 9">
          <a:extLst>
            <a:ext uri="{FF2B5EF4-FFF2-40B4-BE49-F238E27FC236}">
              <a16:creationId xmlns:a16="http://schemas.microsoft.com/office/drawing/2014/main" id="{A7B948F6-7A42-4231-96BF-8F4D35CF1CEC}"/>
            </a:ext>
          </a:extLst>
        </xdr:cNvPr>
        <xdr:cNvSpPr/>
      </xdr:nvSpPr>
      <xdr:spPr>
        <a:xfrm>
          <a:off x="6771419" y="1091045"/>
          <a:ext cx="1887682" cy="1524000"/>
        </a:xfrm>
        <a:prstGeom prst="roundRect">
          <a:avLst/>
        </a:prstGeom>
        <a:solidFill>
          <a:srgbClr val="262626"/>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xdr:from>
      <xdr:col>12</xdr:col>
      <xdr:colOff>510897</xdr:colOff>
      <xdr:row>6</xdr:row>
      <xdr:rowOff>51954</xdr:rowOff>
    </xdr:from>
    <xdr:to>
      <xdr:col>15</xdr:col>
      <xdr:colOff>320397</xdr:colOff>
      <xdr:row>15</xdr:row>
      <xdr:rowOff>17318</xdr:rowOff>
    </xdr:to>
    <xdr:sp macro="" textlink="">
      <xdr:nvSpPr>
        <xdr:cNvPr id="11" name="Rectangle: Rounded Corners 10">
          <a:extLst>
            <a:ext uri="{FF2B5EF4-FFF2-40B4-BE49-F238E27FC236}">
              <a16:creationId xmlns:a16="http://schemas.microsoft.com/office/drawing/2014/main" id="{B0F10CEE-BFB9-4159-B909-3F41F12E5D82}"/>
            </a:ext>
          </a:extLst>
        </xdr:cNvPr>
        <xdr:cNvSpPr/>
      </xdr:nvSpPr>
      <xdr:spPr>
        <a:xfrm>
          <a:off x="8823624" y="1091045"/>
          <a:ext cx="1887682" cy="1524000"/>
        </a:xfrm>
        <a:prstGeom prst="roundRect">
          <a:avLst/>
        </a:prstGeom>
        <a:solidFill>
          <a:srgbClr val="262626"/>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xdr:from>
      <xdr:col>15</xdr:col>
      <xdr:colOff>484919</xdr:colOff>
      <xdr:row>6</xdr:row>
      <xdr:rowOff>51954</xdr:rowOff>
    </xdr:from>
    <xdr:to>
      <xdr:col>18</xdr:col>
      <xdr:colOff>294419</xdr:colOff>
      <xdr:row>15</xdr:row>
      <xdr:rowOff>17318</xdr:rowOff>
    </xdr:to>
    <xdr:sp macro="" textlink="">
      <xdr:nvSpPr>
        <xdr:cNvPr id="12" name="Rectangle: Rounded Corners 11">
          <a:extLst>
            <a:ext uri="{FF2B5EF4-FFF2-40B4-BE49-F238E27FC236}">
              <a16:creationId xmlns:a16="http://schemas.microsoft.com/office/drawing/2014/main" id="{3FA539E1-A533-4F11-BD74-39607CA73103}"/>
            </a:ext>
          </a:extLst>
        </xdr:cNvPr>
        <xdr:cNvSpPr/>
      </xdr:nvSpPr>
      <xdr:spPr>
        <a:xfrm>
          <a:off x="10875828" y="1091045"/>
          <a:ext cx="1887682" cy="1524000"/>
        </a:xfrm>
        <a:prstGeom prst="roundRect">
          <a:avLst/>
        </a:prstGeom>
        <a:solidFill>
          <a:srgbClr val="262626"/>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xdr:from>
      <xdr:col>9</xdr:col>
      <xdr:colOff>606146</xdr:colOff>
      <xdr:row>9</xdr:row>
      <xdr:rowOff>103912</xdr:rowOff>
    </xdr:from>
    <xdr:to>
      <xdr:col>12</xdr:col>
      <xdr:colOff>195665</xdr:colOff>
      <xdr:row>12</xdr:row>
      <xdr:rowOff>148559</xdr:rowOff>
    </xdr:to>
    <xdr:sp macro="" textlink="Piviot!B4">
      <xdr:nvSpPr>
        <xdr:cNvPr id="13" name="TextBox 12">
          <a:extLst>
            <a:ext uri="{FF2B5EF4-FFF2-40B4-BE49-F238E27FC236}">
              <a16:creationId xmlns:a16="http://schemas.microsoft.com/office/drawing/2014/main" id="{E34F2E75-E4A3-4A9B-919E-17939B9F643A}"/>
            </a:ext>
          </a:extLst>
        </xdr:cNvPr>
        <xdr:cNvSpPr txBox="1"/>
      </xdr:nvSpPr>
      <xdr:spPr>
        <a:xfrm>
          <a:off x="6840691" y="1662548"/>
          <a:ext cx="1667701" cy="5641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noAutofit/>
        </a:bodyPr>
        <a:lstStyle/>
        <a:p>
          <a:pPr marL="0" indent="0" algn="l"/>
          <a:fld id="{652EF7AA-AC8C-4A58-910E-FBD7A64C5CEE}" type="TxLink">
            <a:rPr lang="en-US" sz="3200" b="1" i="0" u="none" strike="noStrike">
              <a:solidFill>
                <a:srgbClr val="000000"/>
              </a:solidFill>
              <a:latin typeface="Arial"/>
              <a:ea typeface="+mn-ea"/>
              <a:cs typeface="Arial"/>
            </a:rPr>
            <a:pPr marL="0" indent="0" algn="l"/>
            <a:t> $2,145 </a:t>
          </a:fld>
          <a:endParaRPr lang="ar-EG" sz="3200" b="1" i="0" u="none" strike="noStrike">
            <a:solidFill>
              <a:srgbClr val="000000"/>
            </a:solidFill>
            <a:latin typeface="Arial"/>
            <a:ea typeface="+mn-ea"/>
            <a:cs typeface="Arial"/>
          </a:endParaRPr>
        </a:p>
      </xdr:txBody>
    </xdr:sp>
    <xdr:clientData/>
  </xdr:twoCellAnchor>
  <xdr:twoCellAnchor>
    <xdr:from>
      <xdr:col>9</xdr:col>
      <xdr:colOff>675418</xdr:colOff>
      <xdr:row>12</xdr:row>
      <xdr:rowOff>103912</xdr:rowOff>
    </xdr:from>
    <xdr:to>
      <xdr:col>12</xdr:col>
      <xdr:colOff>127685</xdr:colOff>
      <xdr:row>14</xdr:row>
      <xdr:rowOff>71581</xdr:rowOff>
    </xdr:to>
    <xdr:sp macro="" textlink="Piviot!B15">
      <xdr:nvSpPr>
        <xdr:cNvPr id="14" name="TextBox 13">
          <a:extLst>
            <a:ext uri="{FF2B5EF4-FFF2-40B4-BE49-F238E27FC236}">
              <a16:creationId xmlns:a16="http://schemas.microsoft.com/office/drawing/2014/main" id="{F4097E3B-70C5-4EF3-9287-981B3379E29E}"/>
            </a:ext>
          </a:extLst>
        </xdr:cNvPr>
        <xdr:cNvSpPr txBox="1"/>
      </xdr:nvSpPr>
      <xdr:spPr>
        <a:xfrm>
          <a:off x="6909963" y="2182094"/>
          <a:ext cx="1530449" cy="314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algn="l"/>
          <a:r>
            <a:rPr lang="en-US" sz="1600" b="1" i="0" u="none" strike="noStrike">
              <a:solidFill>
                <a:srgbClr val="000000"/>
              </a:solidFill>
              <a:latin typeface="Arial"/>
              <a:cs typeface="Arial"/>
            </a:rPr>
            <a:t>North Region</a:t>
          </a:r>
          <a:endParaRPr lang="ar-EG" sz="1600" b="1"/>
        </a:p>
      </xdr:txBody>
    </xdr:sp>
    <xdr:clientData/>
  </xdr:twoCellAnchor>
  <xdr:twoCellAnchor>
    <xdr:from>
      <xdr:col>10</xdr:col>
      <xdr:colOff>138554</xdr:colOff>
      <xdr:row>6</xdr:row>
      <xdr:rowOff>121226</xdr:rowOff>
    </xdr:from>
    <xdr:to>
      <xdr:col>12</xdr:col>
      <xdr:colOff>113080</xdr:colOff>
      <xdr:row>8</xdr:row>
      <xdr:rowOff>113501</xdr:rowOff>
    </xdr:to>
    <xdr:sp macro="" textlink="Piviot!B15">
      <xdr:nvSpPr>
        <xdr:cNvPr id="15" name="TextBox 14">
          <a:extLst>
            <a:ext uri="{FF2B5EF4-FFF2-40B4-BE49-F238E27FC236}">
              <a16:creationId xmlns:a16="http://schemas.microsoft.com/office/drawing/2014/main" id="{72BC4C3D-918A-4388-9D0A-059E1EC13326}"/>
            </a:ext>
          </a:extLst>
        </xdr:cNvPr>
        <xdr:cNvSpPr txBox="1"/>
      </xdr:nvSpPr>
      <xdr:spPr>
        <a:xfrm>
          <a:off x="7065827" y="1160317"/>
          <a:ext cx="1359980" cy="3386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marL="0" indent="0" algn="l"/>
          <a:r>
            <a:rPr lang="en-US" sz="2000" b="1" i="0" u="none" strike="noStrike">
              <a:solidFill>
                <a:srgbClr val="000000"/>
              </a:solidFill>
              <a:latin typeface="Kulim Park"/>
              <a:ea typeface="+mn-ea"/>
              <a:cs typeface="Arial"/>
            </a:rPr>
            <a:t>On Time</a:t>
          </a:r>
          <a:endParaRPr lang="ar-EG" sz="2000" b="1" i="0" u="none" strike="noStrike">
            <a:solidFill>
              <a:srgbClr val="000000"/>
            </a:solidFill>
            <a:latin typeface="Kulim Park"/>
            <a:ea typeface="+mn-ea"/>
            <a:cs typeface="Arial"/>
          </a:endParaRPr>
        </a:p>
      </xdr:txBody>
    </xdr:sp>
    <xdr:clientData/>
  </xdr:twoCellAnchor>
  <xdr:twoCellAnchor>
    <xdr:from>
      <xdr:col>10</xdr:col>
      <xdr:colOff>69280</xdr:colOff>
      <xdr:row>7</xdr:row>
      <xdr:rowOff>103906</xdr:rowOff>
    </xdr:from>
    <xdr:to>
      <xdr:col>10</xdr:col>
      <xdr:colOff>190509</xdr:colOff>
      <xdr:row>8</xdr:row>
      <xdr:rowOff>49596</xdr:rowOff>
    </xdr:to>
    <xdr:sp macro="" textlink="">
      <xdr:nvSpPr>
        <xdr:cNvPr id="17" name="Flowchart: Connector 16">
          <a:extLst>
            <a:ext uri="{FF2B5EF4-FFF2-40B4-BE49-F238E27FC236}">
              <a16:creationId xmlns:a16="http://schemas.microsoft.com/office/drawing/2014/main" id="{A324A91E-A1FD-4264-8BA4-E1FBB8F6D555}"/>
            </a:ext>
          </a:extLst>
        </xdr:cNvPr>
        <xdr:cNvSpPr/>
      </xdr:nvSpPr>
      <xdr:spPr>
        <a:xfrm>
          <a:off x="6996553" y="1316179"/>
          <a:ext cx="121229" cy="118872"/>
        </a:xfrm>
        <a:prstGeom prst="flowChartConnector">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7</xdr:col>
      <xdr:colOff>34646</xdr:colOff>
      <xdr:row>9</xdr:row>
      <xdr:rowOff>103912</xdr:rowOff>
    </xdr:from>
    <xdr:to>
      <xdr:col>9</xdr:col>
      <xdr:colOff>316893</xdr:colOff>
      <xdr:row>12</xdr:row>
      <xdr:rowOff>148559</xdr:rowOff>
    </xdr:to>
    <xdr:sp macro="" textlink="Piviot!B3">
      <xdr:nvSpPr>
        <xdr:cNvPr id="65" name="TextBox 64">
          <a:extLst>
            <a:ext uri="{FF2B5EF4-FFF2-40B4-BE49-F238E27FC236}">
              <a16:creationId xmlns:a16="http://schemas.microsoft.com/office/drawing/2014/main" id="{A00D5D11-17D3-4157-B369-254F855F8318}"/>
            </a:ext>
          </a:extLst>
        </xdr:cNvPr>
        <xdr:cNvSpPr txBox="1"/>
      </xdr:nvSpPr>
      <xdr:spPr>
        <a:xfrm>
          <a:off x="4883737" y="1662548"/>
          <a:ext cx="1667701" cy="5641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noAutofit/>
        </a:bodyPr>
        <a:lstStyle/>
        <a:p>
          <a:pPr marL="0" indent="0" algn="l"/>
          <a:fld id="{79B7E1E2-A429-4791-A4B3-E4ECCF95C31A}" type="TxLink">
            <a:rPr lang="en-US" sz="3200" b="1" i="0" u="none" strike="noStrike">
              <a:solidFill>
                <a:srgbClr val="000000"/>
              </a:solidFill>
              <a:latin typeface="Arial"/>
              <a:ea typeface="+mn-ea"/>
              <a:cs typeface="Arial"/>
            </a:rPr>
            <a:pPr marL="0" indent="0" algn="l"/>
            <a:t> $2,101 </a:t>
          </a:fld>
          <a:endParaRPr lang="ar-EG" sz="3200" b="1" i="0" u="none" strike="noStrike">
            <a:solidFill>
              <a:srgbClr val="000000"/>
            </a:solidFill>
            <a:latin typeface="Arial"/>
            <a:ea typeface="+mn-ea"/>
            <a:cs typeface="Arial"/>
          </a:endParaRPr>
        </a:p>
      </xdr:txBody>
    </xdr:sp>
    <xdr:clientData/>
  </xdr:twoCellAnchor>
  <xdr:twoCellAnchor>
    <xdr:from>
      <xdr:col>7</xdr:col>
      <xdr:colOff>103919</xdr:colOff>
      <xdr:row>12</xdr:row>
      <xdr:rowOff>103911</xdr:rowOff>
    </xdr:from>
    <xdr:to>
      <xdr:col>9</xdr:col>
      <xdr:colOff>198439</xdr:colOff>
      <xdr:row>14</xdr:row>
      <xdr:rowOff>51953</xdr:rowOff>
    </xdr:to>
    <xdr:sp macro="" textlink="Piviot!B15">
      <xdr:nvSpPr>
        <xdr:cNvPr id="66" name="TextBox 65">
          <a:extLst>
            <a:ext uri="{FF2B5EF4-FFF2-40B4-BE49-F238E27FC236}">
              <a16:creationId xmlns:a16="http://schemas.microsoft.com/office/drawing/2014/main" id="{757E2950-45C2-4C9E-BAE2-5B6F0A913E46}"/>
            </a:ext>
          </a:extLst>
        </xdr:cNvPr>
        <xdr:cNvSpPr txBox="1"/>
      </xdr:nvSpPr>
      <xdr:spPr>
        <a:xfrm>
          <a:off x="4953010" y="2182093"/>
          <a:ext cx="1479974" cy="2944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algn="l"/>
          <a:r>
            <a:rPr lang="en-US" sz="1600" b="1" i="0" u="none" strike="noStrike">
              <a:solidFill>
                <a:srgbClr val="000000"/>
              </a:solidFill>
              <a:latin typeface="Arial"/>
              <a:cs typeface="Arial"/>
            </a:rPr>
            <a:t>East Region</a:t>
          </a:r>
          <a:endParaRPr lang="ar-EG" sz="1600" b="1"/>
        </a:p>
      </xdr:txBody>
    </xdr:sp>
    <xdr:clientData/>
  </xdr:twoCellAnchor>
  <xdr:twoCellAnchor>
    <xdr:from>
      <xdr:col>7</xdr:col>
      <xdr:colOff>259782</xdr:colOff>
      <xdr:row>6</xdr:row>
      <xdr:rowOff>121226</xdr:rowOff>
    </xdr:from>
    <xdr:to>
      <xdr:col>9</xdr:col>
      <xdr:colOff>51964</xdr:colOff>
      <xdr:row>8</xdr:row>
      <xdr:rowOff>73662</xdr:rowOff>
    </xdr:to>
    <xdr:sp macro="" textlink="Piviot!B15">
      <xdr:nvSpPr>
        <xdr:cNvPr id="67" name="TextBox 66">
          <a:extLst>
            <a:ext uri="{FF2B5EF4-FFF2-40B4-BE49-F238E27FC236}">
              <a16:creationId xmlns:a16="http://schemas.microsoft.com/office/drawing/2014/main" id="{77D30ED7-F5C1-46D6-A3DD-17D03E2546CD}"/>
            </a:ext>
          </a:extLst>
        </xdr:cNvPr>
        <xdr:cNvSpPr txBox="1"/>
      </xdr:nvSpPr>
      <xdr:spPr>
        <a:xfrm>
          <a:off x="5108873" y="1160317"/>
          <a:ext cx="1177636"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marL="0" indent="0" algn="l"/>
          <a:r>
            <a:rPr lang="en-US" sz="2000" b="1" i="0" u="none" strike="noStrike">
              <a:solidFill>
                <a:srgbClr val="000000"/>
              </a:solidFill>
              <a:latin typeface="Kulim Park"/>
              <a:ea typeface="+mn-ea"/>
              <a:cs typeface="Arial"/>
            </a:rPr>
            <a:t>On Time</a:t>
          </a:r>
          <a:endParaRPr lang="ar-EG" sz="2000" b="1" i="0" u="none" strike="noStrike">
            <a:solidFill>
              <a:srgbClr val="000000"/>
            </a:solidFill>
            <a:latin typeface="Kulim Park"/>
            <a:ea typeface="+mn-ea"/>
            <a:cs typeface="Arial"/>
          </a:endParaRPr>
        </a:p>
      </xdr:txBody>
    </xdr:sp>
    <xdr:clientData/>
  </xdr:twoCellAnchor>
  <xdr:twoCellAnchor>
    <xdr:from>
      <xdr:col>7</xdr:col>
      <xdr:colOff>190508</xdr:colOff>
      <xdr:row>7</xdr:row>
      <xdr:rowOff>103906</xdr:rowOff>
    </xdr:from>
    <xdr:to>
      <xdr:col>7</xdr:col>
      <xdr:colOff>311737</xdr:colOff>
      <xdr:row>8</xdr:row>
      <xdr:rowOff>49596</xdr:rowOff>
    </xdr:to>
    <xdr:sp macro="" textlink="">
      <xdr:nvSpPr>
        <xdr:cNvPr id="68" name="Flowchart: Connector 67">
          <a:extLst>
            <a:ext uri="{FF2B5EF4-FFF2-40B4-BE49-F238E27FC236}">
              <a16:creationId xmlns:a16="http://schemas.microsoft.com/office/drawing/2014/main" id="{5B56E12E-A2FF-462A-8E97-6C036D0A2973}"/>
            </a:ext>
          </a:extLst>
        </xdr:cNvPr>
        <xdr:cNvSpPr/>
      </xdr:nvSpPr>
      <xdr:spPr>
        <a:xfrm>
          <a:off x="5039599" y="1316179"/>
          <a:ext cx="121229" cy="118872"/>
        </a:xfrm>
        <a:prstGeom prst="flowChartConnector">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3</xdr:col>
      <xdr:colOff>675418</xdr:colOff>
      <xdr:row>9</xdr:row>
      <xdr:rowOff>103907</xdr:rowOff>
    </xdr:from>
    <xdr:to>
      <xdr:col>6</xdr:col>
      <xdr:colOff>264937</xdr:colOff>
      <xdr:row>12</xdr:row>
      <xdr:rowOff>148554</xdr:rowOff>
    </xdr:to>
    <xdr:sp macro="" textlink="Piviot!B15">
      <xdr:nvSpPr>
        <xdr:cNvPr id="76" name="TextBox 75">
          <a:extLst>
            <a:ext uri="{FF2B5EF4-FFF2-40B4-BE49-F238E27FC236}">
              <a16:creationId xmlns:a16="http://schemas.microsoft.com/office/drawing/2014/main" id="{003885B1-3803-484B-8136-A55922A3F83E}"/>
            </a:ext>
          </a:extLst>
        </xdr:cNvPr>
        <xdr:cNvSpPr txBox="1"/>
      </xdr:nvSpPr>
      <xdr:spPr>
        <a:xfrm>
          <a:off x="2753600" y="1662543"/>
          <a:ext cx="1667701" cy="5641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noAutofit/>
        </a:bodyPr>
        <a:lstStyle/>
        <a:p>
          <a:pPr algn="l"/>
          <a:fld id="{96E3F7EC-50E7-4279-A44A-6788FA841793}" type="TxLink">
            <a:rPr lang="en-US" sz="3200" b="1" i="0" u="none" strike="noStrike">
              <a:solidFill>
                <a:srgbClr val="000000"/>
              </a:solidFill>
              <a:latin typeface="Arial"/>
              <a:cs typeface="Arial"/>
            </a:rPr>
            <a:pPr algn="l"/>
            <a:t> $8,037 </a:t>
          </a:fld>
          <a:endParaRPr lang="ar-EG" sz="3200" b="1"/>
        </a:p>
      </xdr:txBody>
    </xdr:sp>
    <xdr:clientData/>
  </xdr:twoCellAnchor>
  <xdr:twoCellAnchor>
    <xdr:from>
      <xdr:col>4</xdr:col>
      <xdr:colOff>51963</xdr:colOff>
      <xdr:row>12</xdr:row>
      <xdr:rowOff>86588</xdr:rowOff>
    </xdr:from>
    <xdr:to>
      <xdr:col>6</xdr:col>
      <xdr:colOff>5</xdr:colOff>
      <xdr:row>14</xdr:row>
      <xdr:rowOff>86590</xdr:rowOff>
    </xdr:to>
    <xdr:sp macro="" textlink="Piviot!B15">
      <xdr:nvSpPr>
        <xdr:cNvPr id="77" name="TextBox 76">
          <a:extLst>
            <a:ext uri="{FF2B5EF4-FFF2-40B4-BE49-F238E27FC236}">
              <a16:creationId xmlns:a16="http://schemas.microsoft.com/office/drawing/2014/main" id="{800E49FC-DFDF-4EB1-B038-9966507DCFBC}"/>
            </a:ext>
          </a:extLst>
        </xdr:cNvPr>
        <xdr:cNvSpPr txBox="1"/>
      </xdr:nvSpPr>
      <xdr:spPr>
        <a:xfrm>
          <a:off x="2822872" y="2164770"/>
          <a:ext cx="1333497" cy="3463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algn="l"/>
          <a:r>
            <a:rPr lang="en-US" sz="1600" b="1" i="0" u="none" strike="noStrike">
              <a:solidFill>
                <a:srgbClr val="000000"/>
              </a:solidFill>
              <a:latin typeface="Arial"/>
              <a:cs typeface="Arial"/>
            </a:rPr>
            <a:t>Total Profit</a:t>
          </a:r>
          <a:endParaRPr lang="ar-EG" sz="1600" b="1"/>
        </a:p>
      </xdr:txBody>
    </xdr:sp>
    <xdr:clientData/>
  </xdr:twoCellAnchor>
  <xdr:twoCellAnchor>
    <xdr:from>
      <xdr:col>4</xdr:col>
      <xdr:colOff>207827</xdr:colOff>
      <xdr:row>6</xdr:row>
      <xdr:rowOff>121226</xdr:rowOff>
    </xdr:from>
    <xdr:to>
      <xdr:col>6</xdr:col>
      <xdr:colOff>8</xdr:colOff>
      <xdr:row>8</xdr:row>
      <xdr:rowOff>73662</xdr:rowOff>
    </xdr:to>
    <xdr:sp macro="" textlink="Piviot!B15">
      <xdr:nvSpPr>
        <xdr:cNvPr id="78" name="TextBox 77">
          <a:extLst>
            <a:ext uri="{FF2B5EF4-FFF2-40B4-BE49-F238E27FC236}">
              <a16:creationId xmlns:a16="http://schemas.microsoft.com/office/drawing/2014/main" id="{AE8E5D80-22F4-4334-B709-244224D9D76C}"/>
            </a:ext>
          </a:extLst>
        </xdr:cNvPr>
        <xdr:cNvSpPr txBox="1"/>
      </xdr:nvSpPr>
      <xdr:spPr>
        <a:xfrm>
          <a:off x="2978736" y="1160317"/>
          <a:ext cx="1177636"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marL="0" indent="0" algn="l"/>
          <a:r>
            <a:rPr lang="en-US" sz="2000" b="1" i="0" u="none" strike="noStrike">
              <a:solidFill>
                <a:srgbClr val="000000"/>
              </a:solidFill>
              <a:latin typeface="Kulim Park"/>
              <a:ea typeface="+mn-ea"/>
              <a:cs typeface="Arial"/>
            </a:rPr>
            <a:t>On Time</a:t>
          </a:r>
          <a:endParaRPr lang="ar-EG" sz="2000" b="1" i="0" u="none" strike="noStrike">
            <a:solidFill>
              <a:srgbClr val="000000"/>
            </a:solidFill>
            <a:latin typeface="Kulim Park"/>
            <a:ea typeface="+mn-ea"/>
            <a:cs typeface="Arial"/>
          </a:endParaRPr>
        </a:p>
      </xdr:txBody>
    </xdr:sp>
    <xdr:clientData/>
  </xdr:twoCellAnchor>
  <xdr:twoCellAnchor>
    <xdr:from>
      <xdr:col>4</xdr:col>
      <xdr:colOff>138553</xdr:colOff>
      <xdr:row>7</xdr:row>
      <xdr:rowOff>86583</xdr:rowOff>
    </xdr:from>
    <xdr:to>
      <xdr:col>4</xdr:col>
      <xdr:colOff>259782</xdr:colOff>
      <xdr:row>8</xdr:row>
      <xdr:rowOff>32273</xdr:rowOff>
    </xdr:to>
    <xdr:sp macro="" textlink="">
      <xdr:nvSpPr>
        <xdr:cNvPr id="79" name="Flowchart: Connector 78">
          <a:extLst>
            <a:ext uri="{FF2B5EF4-FFF2-40B4-BE49-F238E27FC236}">
              <a16:creationId xmlns:a16="http://schemas.microsoft.com/office/drawing/2014/main" id="{F3C8DAE0-C6BB-4804-A315-8651A61A2398}"/>
            </a:ext>
          </a:extLst>
        </xdr:cNvPr>
        <xdr:cNvSpPr/>
      </xdr:nvSpPr>
      <xdr:spPr>
        <a:xfrm>
          <a:off x="2909462" y="1298856"/>
          <a:ext cx="121229" cy="118872"/>
        </a:xfrm>
        <a:prstGeom prst="flowChartConnector">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12</xdr:col>
      <xdr:colOff>597485</xdr:colOff>
      <xdr:row>9</xdr:row>
      <xdr:rowOff>103907</xdr:rowOff>
    </xdr:from>
    <xdr:to>
      <xdr:col>15</xdr:col>
      <xdr:colOff>187004</xdr:colOff>
      <xdr:row>12</xdr:row>
      <xdr:rowOff>148554</xdr:rowOff>
    </xdr:to>
    <xdr:sp macro="" textlink="Piviot!B5">
      <xdr:nvSpPr>
        <xdr:cNvPr id="81" name="TextBox 80">
          <a:extLst>
            <a:ext uri="{FF2B5EF4-FFF2-40B4-BE49-F238E27FC236}">
              <a16:creationId xmlns:a16="http://schemas.microsoft.com/office/drawing/2014/main" id="{26016059-EEE8-4195-B2DD-CCFA8571E730}"/>
            </a:ext>
          </a:extLst>
        </xdr:cNvPr>
        <xdr:cNvSpPr txBox="1"/>
      </xdr:nvSpPr>
      <xdr:spPr>
        <a:xfrm>
          <a:off x="8910212" y="1662543"/>
          <a:ext cx="1667701" cy="5641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noAutofit/>
        </a:bodyPr>
        <a:lstStyle/>
        <a:p>
          <a:pPr marL="0" indent="0" algn="l"/>
          <a:fld id="{C1A97008-351C-418F-9C06-FE27B0D4F782}" type="TxLink">
            <a:rPr lang="en-US" sz="3200" b="1" i="0" u="none" strike="noStrike">
              <a:solidFill>
                <a:srgbClr val="000000"/>
              </a:solidFill>
              <a:latin typeface="Arial"/>
              <a:ea typeface="+mn-ea"/>
              <a:cs typeface="Arial"/>
            </a:rPr>
            <a:pPr marL="0" indent="0" algn="l"/>
            <a:t> $2,167 </a:t>
          </a:fld>
          <a:endParaRPr lang="ar-EG" sz="3200" b="1" i="0" u="none" strike="noStrike">
            <a:solidFill>
              <a:srgbClr val="000000"/>
            </a:solidFill>
            <a:latin typeface="Arial"/>
            <a:ea typeface="+mn-ea"/>
            <a:cs typeface="Arial"/>
          </a:endParaRPr>
        </a:p>
      </xdr:txBody>
    </xdr:sp>
    <xdr:clientData/>
  </xdr:twoCellAnchor>
  <xdr:twoCellAnchor>
    <xdr:from>
      <xdr:col>12</xdr:col>
      <xdr:colOff>666758</xdr:colOff>
      <xdr:row>12</xdr:row>
      <xdr:rowOff>103907</xdr:rowOff>
    </xdr:from>
    <xdr:to>
      <xdr:col>15</xdr:col>
      <xdr:colOff>138552</xdr:colOff>
      <xdr:row>14</xdr:row>
      <xdr:rowOff>51955</xdr:rowOff>
    </xdr:to>
    <xdr:sp macro="" textlink="Piviot!B15">
      <xdr:nvSpPr>
        <xdr:cNvPr id="82" name="TextBox 81">
          <a:extLst>
            <a:ext uri="{FF2B5EF4-FFF2-40B4-BE49-F238E27FC236}">
              <a16:creationId xmlns:a16="http://schemas.microsoft.com/office/drawing/2014/main" id="{7E0662C0-7E37-41A1-8340-C2E9D00D1812}"/>
            </a:ext>
          </a:extLst>
        </xdr:cNvPr>
        <xdr:cNvSpPr txBox="1"/>
      </xdr:nvSpPr>
      <xdr:spPr>
        <a:xfrm>
          <a:off x="8979485" y="2182089"/>
          <a:ext cx="1549976" cy="2944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algn="l"/>
          <a:r>
            <a:rPr lang="en-US" sz="1600" b="1" i="0" u="none" strike="noStrike">
              <a:solidFill>
                <a:srgbClr val="000000"/>
              </a:solidFill>
              <a:latin typeface="Arial"/>
              <a:cs typeface="Arial"/>
            </a:rPr>
            <a:t>South Region</a:t>
          </a:r>
          <a:endParaRPr lang="ar-EG" sz="1600" b="1"/>
        </a:p>
      </xdr:txBody>
    </xdr:sp>
    <xdr:clientData/>
  </xdr:twoCellAnchor>
  <xdr:twoCellAnchor>
    <xdr:from>
      <xdr:col>13</xdr:col>
      <xdr:colOff>129893</xdr:colOff>
      <xdr:row>6</xdr:row>
      <xdr:rowOff>121226</xdr:rowOff>
    </xdr:from>
    <xdr:to>
      <xdr:col>15</xdr:col>
      <xdr:colOff>104419</xdr:colOff>
      <xdr:row>8</xdr:row>
      <xdr:rowOff>113501</xdr:rowOff>
    </xdr:to>
    <xdr:sp macro="" textlink="Piviot!B15">
      <xdr:nvSpPr>
        <xdr:cNvPr id="83" name="TextBox 82">
          <a:extLst>
            <a:ext uri="{FF2B5EF4-FFF2-40B4-BE49-F238E27FC236}">
              <a16:creationId xmlns:a16="http://schemas.microsoft.com/office/drawing/2014/main" id="{4775B910-A76C-4BA9-A2D4-7D487E94F825}"/>
            </a:ext>
          </a:extLst>
        </xdr:cNvPr>
        <xdr:cNvSpPr txBox="1"/>
      </xdr:nvSpPr>
      <xdr:spPr>
        <a:xfrm>
          <a:off x="9135348" y="1160317"/>
          <a:ext cx="1359980" cy="3386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marL="0" indent="0" algn="l"/>
          <a:r>
            <a:rPr lang="en-US" sz="2000" b="1" i="0" u="none" strike="noStrike">
              <a:solidFill>
                <a:srgbClr val="000000"/>
              </a:solidFill>
              <a:latin typeface="Kulim Park"/>
              <a:ea typeface="+mn-ea"/>
              <a:cs typeface="Arial"/>
            </a:rPr>
            <a:t>On Time</a:t>
          </a:r>
          <a:endParaRPr lang="ar-EG" sz="2000" b="1" i="0" u="none" strike="noStrike">
            <a:solidFill>
              <a:srgbClr val="000000"/>
            </a:solidFill>
            <a:latin typeface="Kulim Park"/>
            <a:ea typeface="+mn-ea"/>
            <a:cs typeface="Arial"/>
          </a:endParaRPr>
        </a:p>
      </xdr:txBody>
    </xdr:sp>
    <xdr:clientData/>
  </xdr:twoCellAnchor>
  <xdr:twoCellAnchor>
    <xdr:from>
      <xdr:col>13</xdr:col>
      <xdr:colOff>60619</xdr:colOff>
      <xdr:row>7</xdr:row>
      <xdr:rowOff>103901</xdr:rowOff>
    </xdr:from>
    <xdr:to>
      <xdr:col>13</xdr:col>
      <xdr:colOff>181848</xdr:colOff>
      <xdr:row>8</xdr:row>
      <xdr:rowOff>49591</xdr:rowOff>
    </xdr:to>
    <xdr:sp macro="" textlink="">
      <xdr:nvSpPr>
        <xdr:cNvPr id="84" name="Flowchart: Connector 83">
          <a:extLst>
            <a:ext uri="{FF2B5EF4-FFF2-40B4-BE49-F238E27FC236}">
              <a16:creationId xmlns:a16="http://schemas.microsoft.com/office/drawing/2014/main" id="{F6657EF9-9061-4BFF-A6AC-10B3EDE887D3}"/>
            </a:ext>
          </a:extLst>
        </xdr:cNvPr>
        <xdr:cNvSpPr/>
      </xdr:nvSpPr>
      <xdr:spPr>
        <a:xfrm>
          <a:off x="9066074" y="1316174"/>
          <a:ext cx="121229" cy="118872"/>
        </a:xfrm>
        <a:prstGeom prst="flowChartConnector">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15</xdr:col>
      <xdr:colOff>588827</xdr:colOff>
      <xdr:row>9</xdr:row>
      <xdr:rowOff>103907</xdr:rowOff>
    </xdr:from>
    <xdr:to>
      <xdr:col>18</xdr:col>
      <xdr:colOff>178346</xdr:colOff>
      <xdr:row>12</xdr:row>
      <xdr:rowOff>148554</xdr:rowOff>
    </xdr:to>
    <xdr:sp macro="" textlink="Piviot!B6">
      <xdr:nvSpPr>
        <xdr:cNvPr id="86" name="TextBox 85">
          <a:extLst>
            <a:ext uri="{FF2B5EF4-FFF2-40B4-BE49-F238E27FC236}">
              <a16:creationId xmlns:a16="http://schemas.microsoft.com/office/drawing/2014/main" id="{A0F03038-0A1A-42A8-BA94-D7DABF666B8C}"/>
            </a:ext>
          </a:extLst>
        </xdr:cNvPr>
        <xdr:cNvSpPr txBox="1"/>
      </xdr:nvSpPr>
      <xdr:spPr>
        <a:xfrm>
          <a:off x="10979736" y="1662543"/>
          <a:ext cx="1667701" cy="5641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noAutofit/>
        </a:bodyPr>
        <a:lstStyle/>
        <a:p>
          <a:pPr marL="0" indent="0" algn="l"/>
          <a:fld id="{996DBA83-EFED-481D-B70F-56B79B6BA03C}" type="TxLink">
            <a:rPr lang="en-US" sz="3200" b="1" i="0" u="none" strike="noStrike">
              <a:solidFill>
                <a:srgbClr val="000000"/>
              </a:solidFill>
              <a:latin typeface="Arial"/>
              <a:ea typeface="+mn-ea"/>
              <a:cs typeface="Arial"/>
            </a:rPr>
            <a:pPr marL="0" indent="0" algn="l"/>
            <a:t> $1,624 </a:t>
          </a:fld>
          <a:endParaRPr lang="ar-EG" sz="3200" b="1" i="0" u="none" strike="noStrike">
            <a:solidFill>
              <a:srgbClr val="000000"/>
            </a:solidFill>
            <a:latin typeface="Arial"/>
            <a:ea typeface="+mn-ea"/>
            <a:cs typeface="Arial"/>
          </a:endParaRPr>
        </a:p>
      </xdr:txBody>
    </xdr:sp>
    <xdr:clientData/>
  </xdr:twoCellAnchor>
  <xdr:twoCellAnchor>
    <xdr:from>
      <xdr:col>15</xdr:col>
      <xdr:colOff>658099</xdr:colOff>
      <xdr:row>12</xdr:row>
      <xdr:rowOff>103906</xdr:rowOff>
    </xdr:from>
    <xdr:to>
      <xdr:col>18</xdr:col>
      <xdr:colOff>59892</xdr:colOff>
      <xdr:row>14</xdr:row>
      <xdr:rowOff>130462</xdr:rowOff>
    </xdr:to>
    <xdr:sp macro="" textlink="Piviot!B15">
      <xdr:nvSpPr>
        <xdr:cNvPr id="87" name="TextBox 86">
          <a:extLst>
            <a:ext uri="{FF2B5EF4-FFF2-40B4-BE49-F238E27FC236}">
              <a16:creationId xmlns:a16="http://schemas.microsoft.com/office/drawing/2014/main" id="{54A15DC2-C6D5-402C-B767-A826030716E9}"/>
            </a:ext>
          </a:extLst>
        </xdr:cNvPr>
        <xdr:cNvSpPr txBox="1"/>
      </xdr:nvSpPr>
      <xdr:spPr>
        <a:xfrm>
          <a:off x="11049008" y="2182088"/>
          <a:ext cx="1479975" cy="3729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algn="l"/>
          <a:r>
            <a:rPr lang="en-US" sz="1600" b="1" i="0" u="none" strike="noStrike">
              <a:solidFill>
                <a:srgbClr val="000000"/>
              </a:solidFill>
              <a:latin typeface="Arial"/>
              <a:cs typeface="Arial"/>
            </a:rPr>
            <a:t>West Region</a:t>
          </a:r>
          <a:endParaRPr lang="ar-EG" sz="1600" b="1"/>
        </a:p>
      </xdr:txBody>
    </xdr:sp>
    <xdr:clientData/>
  </xdr:twoCellAnchor>
  <xdr:twoCellAnchor>
    <xdr:from>
      <xdr:col>16</xdr:col>
      <xdr:colOff>121236</xdr:colOff>
      <xdr:row>6</xdr:row>
      <xdr:rowOff>121226</xdr:rowOff>
    </xdr:from>
    <xdr:to>
      <xdr:col>18</xdr:col>
      <xdr:colOff>95761</xdr:colOff>
      <xdr:row>8</xdr:row>
      <xdr:rowOff>113501</xdr:rowOff>
    </xdr:to>
    <xdr:sp macro="" textlink="Piviot!B15">
      <xdr:nvSpPr>
        <xdr:cNvPr id="88" name="TextBox 87">
          <a:extLst>
            <a:ext uri="{FF2B5EF4-FFF2-40B4-BE49-F238E27FC236}">
              <a16:creationId xmlns:a16="http://schemas.microsoft.com/office/drawing/2014/main" id="{162283F3-45EA-4752-8C57-2E4B080E6F80}"/>
            </a:ext>
          </a:extLst>
        </xdr:cNvPr>
        <xdr:cNvSpPr txBox="1"/>
      </xdr:nvSpPr>
      <xdr:spPr>
        <a:xfrm>
          <a:off x="11204872" y="1160317"/>
          <a:ext cx="1359980" cy="3386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marL="0" indent="0" algn="l"/>
          <a:r>
            <a:rPr lang="en-US" sz="2000" b="1" i="0" u="none" strike="noStrike">
              <a:solidFill>
                <a:srgbClr val="000000"/>
              </a:solidFill>
              <a:latin typeface="Kulim Park"/>
              <a:ea typeface="+mn-ea"/>
              <a:cs typeface="Arial"/>
            </a:rPr>
            <a:t>On Time</a:t>
          </a:r>
          <a:endParaRPr lang="ar-EG" sz="2000" b="1" i="0" u="none" strike="noStrike">
            <a:solidFill>
              <a:srgbClr val="000000"/>
            </a:solidFill>
            <a:latin typeface="Kulim Park"/>
            <a:ea typeface="+mn-ea"/>
            <a:cs typeface="Arial"/>
          </a:endParaRPr>
        </a:p>
      </xdr:txBody>
    </xdr:sp>
    <xdr:clientData/>
  </xdr:twoCellAnchor>
  <xdr:twoCellAnchor>
    <xdr:from>
      <xdr:col>16</xdr:col>
      <xdr:colOff>51962</xdr:colOff>
      <xdr:row>7</xdr:row>
      <xdr:rowOff>103901</xdr:rowOff>
    </xdr:from>
    <xdr:to>
      <xdr:col>16</xdr:col>
      <xdr:colOff>173191</xdr:colOff>
      <xdr:row>8</xdr:row>
      <xdr:rowOff>49591</xdr:rowOff>
    </xdr:to>
    <xdr:sp macro="" textlink="">
      <xdr:nvSpPr>
        <xdr:cNvPr id="89" name="Flowchart: Connector 88">
          <a:extLst>
            <a:ext uri="{FF2B5EF4-FFF2-40B4-BE49-F238E27FC236}">
              <a16:creationId xmlns:a16="http://schemas.microsoft.com/office/drawing/2014/main" id="{3E9D9525-B74B-422B-B56F-7DCA061FE103}"/>
            </a:ext>
          </a:extLst>
        </xdr:cNvPr>
        <xdr:cNvSpPr/>
      </xdr:nvSpPr>
      <xdr:spPr>
        <a:xfrm>
          <a:off x="11135598" y="1316174"/>
          <a:ext cx="121229" cy="118872"/>
        </a:xfrm>
        <a:prstGeom prst="flowChartConnector">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4</xdr:col>
      <xdr:colOff>34645</xdr:colOff>
      <xdr:row>8</xdr:row>
      <xdr:rowOff>69270</xdr:rowOff>
    </xdr:from>
    <xdr:to>
      <xdr:col>6</xdr:col>
      <xdr:colOff>363687</xdr:colOff>
      <xdr:row>10</xdr:row>
      <xdr:rowOff>1</xdr:rowOff>
    </xdr:to>
    <xdr:sp macro="" textlink="">
      <xdr:nvSpPr>
        <xdr:cNvPr id="90" name="TextBox 89">
          <a:extLst>
            <a:ext uri="{FF2B5EF4-FFF2-40B4-BE49-F238E27FC236}">
              <a16:creationId xmlns:a16="http://schemas.microsoft.com/office/drawing/2014/main" id="{CA38EF3C-5DD0-4093-8B3A-848CB310F68E}"/>
            </a:ext>
          </a:extLst>
        </xdr:cNvPr>
        <xdr:cNvSpPr txBox="1"/>
      </xdr:nvSpPr>
      <xdr:spPr>
        <a:xfrm>
          <a:off x="2805554" y="1454725"/>
          <a:ext cx="1714497" cy="2770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noAutofit/>
        </a:bodyPr>
        <a:lstStyle/>
        <a:p>
          <a:pPr algn="l"/>
          <a:r>
            <a:rPr lang="en-US" b="1">
              <a:solidFill>
                <a:srgbClr val="333333"/>
              </a:solidFill>
              <a:latin typeface="Kulim Park"/>
            </a:rPr>
            <a:t>Friday, January 9, 2026</a:t>
          </a:r>
        </a:p>
      </xdr:txBody>
    </xdr:sp>
    <xdr:clientData/>
  </xdr:twoCellAnchor>
  <xdr:twoCellAnchor>
    <xdr:from>
      <xdr:col>3</xdr:col>
      <xdr:colOff>107384</xdr:colOff>
      <xdr:row>0</xdr:row>
      <xdr:rowOff>0</xdr:rowOff>
    </xdr:from>
    <xdr:to>
      <xdr:col>7</xdr:col>
      <xdr:colOff>467598</xdr:colOff>
      <xdr:row>3</xdr:row>
      <xdr:rowOff>44648</xdr:rowOff>
    </xdr:to>
    <xdr:sp macro="" textlink="Piviot!B3">
      <xdr:nvSpPr>
        <xdr:cNvPr id="94" name="TextBox 93">
          <a:extLst>
            <a:ext uri="{FF2B5EF4-FFF2-40B4-BE49-F238E27FC236}">
              <a16:creationId xmlns:a16="http://schemas.microsoft.com/office/drawing/2014/main" id="{B7CCD109-B95B-42D0-A188-223B4199FB4B}"/>
            </a:ext>
          </a:extLst>
        </xdr:cNvPr>
        <xdr:cNvSpPr txBox="1"/>
      </xdr:nvSpPr>
      <xdr:spPr>
        <a:xfrm>
          <a:off x="2185566" y="0"/>
          <a:ext cx="3131123" cy="5641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marL="0" indent="0" algn="l"/>
          <a:r>
            <a:rPr lang="en-US" sz="3200" b="1" i="0" u="none" strike="noStrike">
              <a:solidFill>
                <a:srgbClr val="F2BC1B"/>
              </a:solidFill>
              <a:latin typeface="Kulim Park"/>
              <a:ea typeface="+mn-ea"/>
              <a:cs typeface="Arial"/>
            </a:rPr>
            <a:t>SALES TRACKER</a:t>
          </a:r>
          <a:endParaRPr lang="ar-EG" sz="3200" b="1" i="0" u="none" strike="noStrike">
            <a:solidFill>
              <a:srgbClr val="F2BC1B"/>
            </a:solidFill>
            <a:latin typeface="Kulim Park"/>
            <a:ea typeface="+mn-ea"/>
            <a:cs typeface="Arial"/>
          </a:endParaRPr>
        </a:p>
      </xdr:txBody>
    </xdr:sp>
    <xdr:clientData/>
  </xdr:twoCellAnchor>
  <xdr:twoCellAnchor>
    <xdr:from>
      <xdr:col>2</xdr:col>
      <xdr:colOff>554188</xdr:colOff>
      <xdr:row>3</xdr:row>
      <xdr:rowOff>0</xdr:rowOff>
    </xdr:from>
    <xdr:to>
      <xdr:col>24</xdr:col>
      <xdr:colOff>103915</xdr:colOff>
      <xdr:row>3</xdr:row>
      <xdr:rowOff>17318</xdr:rowOff>
    </xdr:to>
    <xdr:cxnSp macro="">
      <xdr:nvCxnSpPr>
        <xdr:cNvPr id="96" name="Straight Connector 95">
          <a:extLst>
            <a:ext uri="{FF2B5EF4-FFF2-40B4-BE49-F238E27FC236}">
              <a16:creationId xmlns:a16="http://schemas.microsoft.com/office/drawing/2014/main" id="{FE47E89B-C9CC-418D-AFEB-5C166458A90B}"/>
            </a:ext>
          </a:extLst>
        </xdr:cNvPr>
        <xdr:cNvCxnSpPr/>
      </xdr:nvCxnSpPr>
      <xdr:spPr>
        <a:xfrm flipV="1">
          <a:off x="1939643" y="519545"/>
          <a:ext cx="14789727" cy="17318"/>
        </a:xfrm>
        <a:prstGeom prst="line">
          <a:avLst/>
        </a:prstGeom>
        <a:ln>
          <a:solidFill>
            <a:srgbClr val="F2BC1B"/>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124704</xdr:colOff>
      <xdr:row>3</xdr:row>
      <xdr:rowOff>44166</xdr:rowOff>
    </xdr:from>
    <xdr:to>
      <xdr:col>5</xdr:col>
      <xdr:colOff>86598</xdr:colOff>
      <xdr:row>4</xdr:row>
      <xdr:rowOff>86591</xdr:rowOff>
    </xdr:to>
    <xdr:sp macro="" textlink="Piviot!B3">
      <xdr:nvSpPr>
        <xdr:cNvPr id="99" name="TextBox 98">
          <a:extLst>
            <a:ext uri="{FF2B5EF4-FFF2-40B4-BE49-F238E27FC236}">
              <a16:creationId xmlns:a16="http://schemas.microsoft.com/office/drawing/2014/main" id="{AE8E58DE-B931-445C-BE5E-448560A07676}"/>
            </a:ext>
          </a:extLst>
        </xdr:cNvPr>
        <xdr:cNvSpPr txBox="1"/>
      </xdr:nvSpPr>
      <xdr:spPr>
        <a:xfrm>
          <a:off x="2202886" y="563711"/>
          <a:ext cx="1347348" cy="2156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noAutofit/>
        </a:bodyPr>
        <a:lstStyle/>
        <a:p>
          <a:pPr marL="0" indent="0" algn="l"/>
          <a:r>
            <a:rPr lang="en-US" sz="1600" b="1" i="0" u="none" strike="noStrike">
              <a:solidFill>
                <a:srgbClr val="F2BC1B"/>
              </a:solidFill>
              <a:latin typeface="Kulim Park"/>
              <a:ea typeface="+mn-ea"/>
              <a:cs typeface="Arial"/>
            </a:rPr>
            <a:t>Dashboard</a:t>
          </a:r>
          <a:endParaRPr lang="ar-EG" sz="1600" b="1" i="0" u="none" strike="noStrike">
            <a:solidFill>
              <a:srgbClr val="F2BC1B"/>
            </a:solidFill>
            <a:latin typeface="Kulim Park"/>
            <a:ea typeface="+mn-ea"/>
            <a:cs typeface="Arial"/>
          </a:endParaRPr>
        </a:p>
      </xdr:txBody>
    </xdr:sp>
    <xdr:clientData/>
  </xdr:twoCellAnchor>
  <xdr:twoCellAnchor>
    <xdr:from>
      <xdr:col>3</xdr:col>
      <xdr:colOff>124702</xdr:colOff>
      <xdr:row>4</xdr:row>
      <xdr:rowOff>113438</xdr:rowOff>
    </xdr:from>
    <xdr:to>
      <xdr:col>9</xdr:col>
      <xdr:colOff>381006</xdr:colOff>
      <xdr:row>5</xdr:row>
      <xdr:rowOff>155864</xdr:rowOff>
    </xdr:to>
    <xdr:sp macro="" textlink="Piviot!B3">
      <xdr:nvSpPr>
        <xdr:cNvPr id="100" name="TextBox 99">
          <a:extLst>
            <a:ext uri="{FF2B5EF4-FFF2-40B4-BE49-F238E27FC236}">
              <a16:creationId xmlns:a16="http://schemas.microsoft.com/office/drawing/2014/main" id="{323E99A6-8AB8-43C3-A573-9622BA4C3BE6}"/>
            </a:ext>
          </a:extLst>
        </xdr:cNvPr>
        <xdr:cNvSpPr txBox="1"/>
      </xdr:nvSpPr>
      <xdr:spPr>
        <a:xfrm>
          <a:off x="2202884" y="806165"/>
          <a:ext cx="4412667" cy="2156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noAutofit/>
        </a:bodyPr>
        <a:lstStyle/>
        <a:p>
          <a:pPr marL="0" indent="0" algn="l"/>
          <a:r>
            <a:rPr lang="en-US" sz="1600" b="1" i="0" u="none" strike="noStrike">
              <a:solidFill>
                <a:srgbClr val="F2BC1B"/>
              </a:solidFill>
              <a:latin typeface="Kulim Park"/>
              <a:ea typeface="+mn-ea"/>
              <a:cs typeface="Arial"/>
            </a:rPr>
            <a:t>A Way To Manage The Sales Department </a:t>
          </a:r>
          <a:endParaRPr lang="ar-EG" sz="1600" b="1" i="0" u="none" strike="noStrike">
            <a:solidFill>
              <a:srgbClr val="F2BC1B"/>
            </a:solidFill>
            <a:latin typeface="Kulim Park"/>
            <a:ea typeface="+mn-ea"/>
            <a:cs typeface="Arial"/>
          </a:endParaRPr>
        </a:p>
      </xdr:txBody>
    </xdr:sp>
    <xdr:clientData/>
  </xdr:twoCellAnchor>
  <xdr:twoCellAnchor>
    <xdr:from>
      <xdr:col>3</xdr:col>
      <xdr:colOff>588827</xdr:colOff>
      <xdr:row>16</xdr:row>
      <xdr:rowOff>103908</xdr:rowOff>
    </xdr:from>
    <xdr:to>
      <xdr:col>7</xdr:col>
      <xdr:colOff>332518</xdr:colOff>
      <xdr:row>23</xdr:row>
      <xdr:rowOff>103909</xdr:rowOff>
    </xdr:to>
    <xdr:sp macro="" textlink="">
      <xdr:nvSpPr>
        <xdr:cNvPr id="101" name="Rectangle: Rounded Corners 100">
          <a:extLst>
            <a:ext uri="{FF2B5EF4-FFF2-40B4-BE49-F238E27FC236}">
              <a16:creationId xmlns:a16="http://schemas.microsoft.com/office/drawing/2014/main" id="{6611B125-ED4A-44C1-A493-42BF92940C87}"/>
            </a:ext>
          </a:extLst>
        </xdr:cNvPr>
        <xdr:cNvSpPr/>
      </xdr:nvSpPr>
      <xdr:spPr>
        <a:xfrm>
          <a:off x="2667009" y="2874817"/>
          <a:ext cx="2514600" cy="1212274"/>
        </a:xfrm>
        <a:prstGeom prst="roundRect">
          <a:avLst/>
        </a:prstGeom>
        <a:solidFill>
          <a:srgbClr val="262626"/>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xdr:from>
      <xdr:col>4</xdr:col>
      <xdr:colOff>242464</xdr:colOff>
      <xdr:row>17</xdr:row>
      <xdr:rowOff>2</xdr:rowOff>
    </xdr:from>
    <xdr:to>
      <xdr:col>6</xdr:col>
      <xdr:colOff>216989</xdr:colOff>
      <xdr:row>18</xdr:row>
      <xdr:rowOff>165459</xdr:rowOff>
    </xdr:to>
    <xdr:sp macro="" textlink="Piviot!B15">
      <xdr:nvSpPr>
        <xdr:cNvPr id="102" name="TextBox 101">
          <a:extLst>
            <a:ext uri="{FF2B5EF4-FFF2-40B4-BE49-F238E27FC236}">
              <a16:creationId xmlns:a16="http://schemas.microsoft.com/office/drawing/2014/main" id="{0F02360E-DAA3-4BC2-A48E-131E28F5DE09}"/>
            </a:ext>
          </a:extLst>
        </xdr:cNvPr>
        <xdr:cNvSpPr txBox="1"/>
      </xdr:nvSpPr>
      <xdr:spPr>
        <a:xfrm>
          <a:off x="3013373" y="2944093"/>
          <a:ext cx="1359980" cy="3386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marL="0" indent="0" algn="l"/>
          <a:r>
            <a:rPr lang="en-US" sz="2000" b="1" i="0" u="none" strike="noStrike">
              <a:solidFill>
                <a:srgbClr val="000000"/>
              </a:solidFill>
              <a:latin typeface="Kulim Park"/>
              <a:ea typeface="+mn-ea"/>
              <a:cs typeface="Arial"/>
            </a:rPr>
            <a:t>On Time</a:t>
          </a:r>
          <a:endParaRPr lang="ar-EG" sz="2000" b="1" i="0" u="none" strike="noStrike">
            <a:solidFill>
              <a:srgbClr val="000000"/>
            </a:solidFill>
            <a:latin typeface="Kulim Park"/>
            <a:ea typeface="+mn-ea"/>
            <a:cs typeface="Arial"/>
          </a:endParaRPr>
        </a:p>
      </xdr:txBody>
    </xdr:sp>
    <xdr:clientData/>
  </xdr:twoCellAnchor>
  <xdr:twoCellAnchor>
    <xdr:from>
      <xdr:col>4</xdr:col>
      <xdr:colOff>173190</xdr:colOff>
      <xdr:row>17</xdr:row>
      <xdr:rowOff>155860</xdr:rowOff>
    </xdr:from>
    <xdr:to>
      <xdr:col>4</xdr:col>
      <xdr:colOff>294419</xdr:colOff>
      <xdr:row>18</xdr:row>
      <xdr:rowOff>101550</xdr:rowOff>
    </xdr:to>
    <xdr:sp macro="" textlink="">
      <xdr:nvSpPr>
        <xdr:cNvPr id="103" name="Flowchart: Connector 102">
          <a:extLst>
            <a:ext uri="{FF2B5EF4-FFF2-40B4-BE49-F238E27FC236}">
              <a16:creationId xmlns:a16="http://schemas.microsoft.com/office/drawing/2014/main" id="{019D345F-E0C2-4CAC-B38C-D2A4B88B5017}"/>
            </a:ext>
          </a:extLst>
        </xdr:cNvPr>
        <xdr:cNvSpPr/>
      </xdr:nvSpPr>
      <xdr:spPr>
        <a:xfrm>
          <a:off x="2944099" y="3099951"/>
          <a:ext cx="121229" cy="118872"/>
        </a:xfrm>
        <a:prstGeom prst="flowChartConnector">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3</xdr:col>
      <xdr:colOff>571511</xdr:colOff>
      <xdr:row>19</xdr:row>
      <xdr:rowOff>34633</xdr:rowOff>
    </xdr:from>
    <xdr:to>
      <xdr:col>4</xdr:col>
      <xdr:colOff>606144</xdr:colOff>
      <xdr:row>21</xdr:row>
      <xdr:rowOff>34637</xdr:rowOff>
    </xdr:to>
    <xdr:sp macro="" textlink="Piviot!B15">
      <xdr:nvSpPr>
        <xdr:cNvPr id="104" name="TextBox 103">
          <a:extLst>
            <a:ext uri="{FF2B5EF4-FFF2-40B4-BE49-F238E27FC236}">
              <a16:creationId xmlns:a16="http://schemas.microsoft.com/office/drawing/2014/main" id="{DAC26906-B93A-48DC-B817-EF9713C64B37}"/>
            </a:ext>
          </a:extLst>
        </xdr:cNvPr>
        <xdr:cNvSpPr txBox="1"/>
      </xdr:nvSpPr>
      <xdr:spPr>
        <a:xfrm>
          <a:off x="2649693" y="3325088"/>
          <a:ext cx="727360" cy="3463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noAutofit/>
        </a:bodyPr>
        <a:lstStyle/>
        <a:p>
          <a:pPr algn="l"/>
          <a:r>
            <a:rPr lang="en-US" sz="1800" b="1" i="0" u="none" strike="noStrike">
              <a:solidFill>
                <a:srgbClr val="000000"/>
              </a:solidFill>
              <a:latin typeface="Arial"/>
              <a:cs typeface="Arial"/>
            </a:rPr>
            <a:t>Total </a:t>
          </a:r>
          <a:endParaRPr lang="ar-EG" sz="1800" b="1"/>
        </a:p>
      </xdr:txBody>
    </xdr:sp>
    <xdr:clientData/>
  </xdr:twoCellAnchor>
  <xdr:twoCellAnchor>
    <xdr:from>
      <xdr:col>3</xdr:col>
      <xdr:colOff>571511</xdr:colOff>
      <xdr:row>20</xdr:row>
      <xdr:rowOff>103906</xdr:rowOff>
    </xdr:from>
    <xdr:to>
      <xdr:col>4</xdr:col>
      <xdr:colOff>606144</xdr:colOff>
      <xdr:row>22</xdr:row>
      <xdr:rowOff>103909</xdr:rowOff>
    </xdr:to>
    <xdr:sp macro="" textlink="Piviot!B15">
      <xdr:nvSpPr>
        <xdr:cNvPr id="105" name="TextBox 104">
          <a:extLst>
            <a:ext uri="{FF2B5EF4-FFF2-40B4-BE49-F238E27FC236}">
              <a16:creationId xmlns:a16="http://schemas.microsoft.com/office/drawing/2014/main" id="{411C4762-C5EC-42BC-B6F2-FC7334BF419B}"/>
            </a:ext>
          </a:extLst>
        </xdr:cNvPr>
        <xdr:cNvSpPr txBox="1"/>
      </xdr:nvSpPr>
      <xdr:spPr>
        <a:xfrm>
          <a:off x="2649693" y="3567542"/>
          <a:ext cx="727360" cy="3463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noAutofit/>
        </a:bodyPr>
        <a:lstStyle/>
        <a:p>
          <a:pPr algn="l"/>
          <a:r>
            <a:rPr lang="en-US" sz="1800" b="1" i="0" u="none" strike="noStrike">
              <a:solidFill>
                <a:srgbClr val="000000"/>
              </a:solidFill>
              <a:latin typeface="Arial"/>
              <a:cs typeface="Arial"/>
            </a:rPr>
            <a:t>Sales</a:t>
          </a:r>
          <a:endParaRPr lang="ar-EG" sz="1800" b="1"/>
        </a:p>
      </xdr:txBody>
    </xdr:sp>
    <xdr:clientData/>
  </xdr:twoCellAnchor>
  <xdr:twoCellAnchor>
    <xdr:from>
      <xdr:col>4</xdr:col>
      <xdr:colOff>536873</xdr:colOff>
      <xdr:row>19</xdr:row>
      <xdr:rowOff>34639</xdr:rowOff>
    </xdr:from>
    <xdr:to>
      <xdr:col>7</xdr:col>
      <xdr:colOff>126392</xdr:colOff>
      <xdr:row>22</xdr:row>
      <xdr:rowOff>79287</xdr:rowOff>
    </xdr:to>
    <xdr:sp macro="" textlink="Piviot!B32">
      <xdr:nvSpPr>
        <xdr:cNvPr id="39" name="TextBox 38">
          <a:extLst>
            <a:ext uri="{FF2B5EF4-FFF2-40B4-BE49-F238E27FC236}">
              <a16:creationId xmlns:a16="http://schemas.microsoft.com/office/drawing/2014/main" id="{B84ED9FC-93AB-4445-88ED-90C4089D81AA}"/>
            </a:ext>
          </a:extLst>
        </xdr:cNvPr>
        <xdr:cNvSpPr txBox="1"/>
      </xdr:nvSpPr>
      <xdr:spPr>
        <a:xfrm>
          <a:off x="3307782" y="3325094"/>
          <a:ext cx="1667701" cy="5641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t">
          <a:noAutofit/>
        </a:bodyPr>
        <a:lstStyle/>
        <a:p>
          <a:pPr marL="0" indent="0" algn="l"/>
          <a:fld id="{631DB16B-BBF3-4A7F-A98B-6B4783C6ADBE}" type="TxLink">
            <a:rPr lang="en-US" sz="3200" b="1" i="0" u="none" strike="noStrike">
              <a:solidFill>
                <a:srgbClr val="000000"/>
              </a:solidFill>
              <a:latin typeface="Arial"/>
              <a:ea typeface="+mn-ea"/>
              <a:cs typeface="Arial"/>
            </a:rPr>
            <a:pPr marL="0" indent="0" algn="l"/>
            <a:t> $208,771 </a:t>
          </a:fld>
          <a:endParaRPr lang="ar-EG" sz="3200" b="1" i="0" u="none" strike="noStrike">
            <a:solidFill>
              <a:srgbClr val="000000"/>
            </a:solidFill>
            <a:latin typeface="Arial"/>
            <a:ea typeface="+mn-ea"/>
            <a:cs typeface="Arial"/>
          </a:endParaRPr>
        </a:p>
      </xdr:txBody>
    </xdr:sp>
    <xdr:clientData/>
  </xdr:twoCellAnchor>
  <xdr:twoCellAnchor>
    <xdr:from>
      <xdr:col>3</xdr:col>
      <xdr:colOff>588827</xdr:colOff>
      <xdr:row>24</xdr:row>
      <xdr:rowOff>155861</xdr:rowOff>
    </xdr:from>
    <xdr:to>
      <xdr:col>7</xdr:col>
      <xdr:colOff>329052</xdr:colOff>
      <xdr:row>43</xdr:row>
      <xdr:rowOff>86590</xdr:rowOff>
    </xdr:to>
    <xdr:sp macro="" textlink="">
      <xdr:nvSpPr>
        <xdr:cNvPr id="40" name="Rectangle: Rounded Corners 39">
          <a:extLst>
            <a:ext uri="{FF2B5EF4-FFF2-40B4-BE49-F238E27FC236}">
              <a16:creationId xmlns:a16="http://schemas.microsoft.com/office/drawing/2014/main" id="{1A5CA328-7437-4897-8A70-B38F16BC0F03}"/>
            </a:ext>
          </a:extLst>
        </xdr:cNvPr>
        <xdr:cNvSpPr/>
      </xdr:nvSpPr>
      <xdr:spPr>
        <a:xfrm>
          <a:off x="2667009" y="4312225"/>
          <a:ext cx="2511134" cy="3221183"/>
        </a:xfrm>
        <a:prstGeom prst="roundRect">
          <a:avLst/>
        </a:prstGeom>
        <a:solidFill>
          <a:srgbClr val="262626"/>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xdr:from>
      <xdr:col>4</xdr:col>
      <xdr:colOff>34647</xdr:colOff>
      <xdr:row>25</xdr:row>
      <xdr:rowOff>121231</xdr:rowOff>
    </xdr:from>
    <xdr:to>
      <xdr:col>6</xdr:col>
      <xdr:colOff>225135</xdr:colOff>
      <xdr:row>29</xdr:row>
      <xdr:rowOff>121226</xdr:rowOff>
    </xdr:to>
    <xdr:sp macro="" textlink="Piviot!B15">
      <xdr:nvSpPr>
        <xdr:cNvPr id="41" name="TextBox 40">
          <a:extLst>
            <a:ext uri="{FF2B5EF4-FFF2-40B4-BE49-F238E27FC236}">
              <a16:creationId xmlns:a16="http://schemas.microsoft.com/office/drawing/2014/main" id="{675A115A-E295-4CF0-8D6B-65160EA6D552}"/>
            </a:ext>
          </a:extLst>
        </xdr:cNvPr>
        <xdr:cNvSpPr txBox="1"/>
      </xdr:nvSpPr>
      <xdr:spPr>
        <a:xfrm>
          <a:off x="2805556" y="4450776"/>
          <a:ext cx="1575943" cy="6927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marL="0" indent="0" algn="l"/>
          <a:r>
            <a:rPr lang="en-US" sz="1600" b="1" i="0" u="none" strike="noStrike">
              <a:solidFill>
                <a:srgbClr val="000000"/>
              </a:solidFill>
              <a:latin typeface="Kulim Park"/>
              <a:ea typeface="+mn-ea"/>
              <a:cs typeface="Arial"/>
            </a:rPr>
            <a:t>Total Sales By Categories</a:t>
          </a:r>
          <a:endParaRPr lang="ar-EG" sz="1600" b="1" i="0" u="none" strike="noStrike">
            <a:solidFill>
              <a:srgbClr val="000000"/>
            </a:solidFill>
            <a:latin typeface="Kulim Park"/>
            <a:ea typeface="+mn-ea"/>
            <a:cs typeface="Arial"/>
          </a:endParaRPr>
        </a:p>
      </xdr:txBody>
    </xdr:sp>
    <xdr:clientData/>
  </xdr:twoCellAnchor>
  <xdr:twoCellAnchor>
    <xdr:from>
      <xdr:col>4</xdr:col>
      <xdr:colOff>155874</xdr:colOff>
      <xdr:row>28</xdr:row>
      <xdr:rowOff>155865</xdr:rowOff>
    </xdr:from>
    <xdr:to>
      <xdr:col>5</xdr:col>
      <xdr:colOff>346371</xdr:colOff>
      <xdr:row>30</xdr:row>
      <xdr:rowOff>103909</xdr:rowOff>
    </xdr:to>
    <xdr:sp macro="" textlink="Piviot!A19">
      <xdr:nvSpPr>
        <xdr:cNvPr id="42" name="TextBox 41">
          <a:extLst>
            <a:ext uri="{FF2B5EF4-FFF2-40B4-BE49-F238E27FC236}">
              <a16:creationId xmlns:a16="http://schemas.microsoft.com/office/drawing/2014/main" id="{63AAF84C-2AAA-48D9-B404-ECA5913AE7BF}"/>
            </a:ext>
          </a:extLst>
        </xdr:cNvPr>
        <xdr:cNvSpPr txBox="1"/>
      </xdr:nvSpPr>
      <xdr:spPr>
        <a:xfrm>
          <a:off x="2926783" y="5004956"/>
          <a:ext cx="883224" cy="294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marL="0" indent="0" algn="l"/>
          <a:fld id="{9DF92C9C-98CF-4C5A-B7B9-2E0553B9A9FD}" type="TxLink">
            <a:rPr lang="en-US" sz="1600" b="1" i="0" u="none" strike="noStrike">
              <a:solidFill>
                <a:srgbClr val="000000"/>
              </a:solidFill>
              <a:latin typeface="Arial"/>
              <a:ea typeface="+mn-ea"/>
              <a:cs typeface="Arial"/>
            </a:rPr>
            <a:pPr marL="0" indent="0" algn="l"/>
            <a:t>Beauty</a:t>
          </a:fld>
          <a:endParaRPr lang="en-US" sz="1600" b="1" i="0" u="none" strike="noStrike">
            <a:solidFill>
              <a:srgbClr val="000000"/>
            </a:solidFill>
            <a:latin typeface="Arial"/>
            <a:ea typeface="+mn-ea"/>
            <a:cs typeface="Arial"/>
          </a:endParaRPr>
        </a:p>
      </xdr:txBody>
    </xdr:sp>
    <xdr:clientData/>
  </xdr:twoCellAnchor>
  <xdr:twoCellAnchor>
    <xdr:from>
      <xdr:col>4</xdr:col>
      <xdr:colOff>155874</xdr:colOff>
      <xdr:row>32</xdr:row>
      <xdr:rowOff>6497</xdr:rowOff>
    </xdr:from>
    <xdr:to>
      <xdr:col>6</xdr:col>
      <xdr:colOff>51961</xdr:colOff>
      <xdr:row>33</xdr:row>
      <xdr:rowOff>93085</xdr:rowOff>
    </xdr:to>
    <xdr:sp macro="" textlink="Piviot!A20">
      <xdr:nvSpPr>
        <xdr:cNvPr id="43" name="TextBox 42">
          <a:extLst>
            <a:ext uri="{FF2B5EF4-FFF2-40B4-BE49-F238E27FC236}">
              <a16:creationId xmlns:a16="http://schemas.microsoft.com/office/drawing/2014/main" id="{A6B4008A-9B46-40E1-8368-34F6916F8DCB}"/>
            </a:ext>
          </a:extLst>
        </xdr:cNvPr>
        <xdr:cNvSpPr txBox="1"/>
      </xdr:nvSpPr>
      <xdr:spPr>
        <a:xfrm>
          <a:off x="2926783" y="5548315"/>
          <a:ext cx="1281542" cy="2597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marL="0" indent="0" algn="l"/>
          <a:fld id="{8ACB4509-D3DD-46F5-A665-BC7FEA454086}" type="TxLink">
            <a:rPr lang="en-US" sz="1600" b="1" i="0" u="none" strike="noStrike">
              <a:solidFill>
                <a:srgbClr val="000000"/>
              </a:solidFill>
              <a:latin typeface="Arial"/>
              <a:ea typeface="+mn-ea"/>
              <a:cs typeface="Arial"/>
            </a:rPr>
            <a:pPr marL="0" indent="0" algn="l"/>
            <a:t>Clothing</a:t>
          </a:fld>
          <a:endParaRPr lang="ar-EG" sz="1600" b="1" i="0" u="none" strike="noStrike">
            <a:solidFill>
              <a:srgbClr val="000000"/>
            </a:solidFill>
            <a:latin typeface="Arial"/>
            <a:ea typeface="+mn-ea"/>
            <a:cs typeface="Arial"/>
          </a:endParaRPr>
        </a:p>
      </xdr:txBody>
    </xdr:sp>
    <xdr:clientData/>
  </xdr:twoCellAnchor>
  <xdr:twoCellAnchor>
    <xdr:from>
      <xdr:col>4</xdr:col>
      <xdr:colOff>155874</xdr:colOff>
      <xdr:row>34</xdr:row>
      <xdr:rowOff>168854</xdr:rowOff>
    </xdr:from>
    <xdr:to>
      <xdr:col>6</xdr:col>
      <xdr:colOff>51961</xdr:colOff>
      <xdr:row>36</xdr:row>
      <xdr:rowOff>82261</xdr:rowOff>
    </xdr:to>
    <xdr:sp macro="" textlink="Piviot!A21">
      <xdr:nvSpPr>
        <xdr:cNvPr id="44" name="TextBox 43">
          <a:extLst>
            <a:ext uri="{FF2B5EF4-FFF2-40B4-BE49-F238E27FC236}">
              <a16:creationId xmlns:a16="http://schemas.microsoft.com/office/drawing/2014/main" id="{BA896721-C564-4AF8-B063-4A7C8F1D14B0}"/>
            </a:ext>
          </a:extLst>
        </xdr:cNvPr>
        <xdr:cNvSpPr txBox="1"/>
      </xdr:nvSpPr>
      <xdr:spPr>
        <a:xfrm>
          <a:off x="2926783" y="6057036"/>
          <a:ext cx="1281542" cy="2597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marL="0" indent="0" algn="l"/>
          <a:fld id="{E82E4B95-A540-4535-8436-A3A605E2FBE1}" type="TxLink">
            <a:rPr lang="en-US" sz="1600" b="1" i="0" u="none" strike="noStrike">
              <a:solidFill>
                <a:srgbClr val="000000"/>
              </a:solidFill>
              <a:latin typeface="Arial"/>
              <a:ea typeface="+mn-ea"/>
              <a:cs typeface="Arial"/>
            </a:rPr>
            <a:pPr marL="0" indent="0" algn="l"/>
            <a:t>Electronics</a:t>
          </a:fld>
          <a:endParaRPr lang="ar-EG" sz="1600" b="1" i="0" u="none" strike="noStrike">
            <a:solidFill>
              <a:srgbClr val="000000"/>
            </a:solidFill>
            <a:latin typeface="Arial"/>
            <a:ea typeface="+mn-ea"/>
            <a:cs typeface="Arial"/>
          </a:endParaRPr>
        </a:p>
      </xdr:txBody>
    </xdr:sp>
    <xdr:clientData/>
  </xdr:twoCellAnchor>
  <xdr:twoCellAnchor>
    <xdr:from>
      <xdr:col>4</xdr:col>
      <xdr:colOff>155874</xdr:colOff>
      <xdr:row>37</xdr:row>
      <xdr:rowOff>140712</xdr:rowOff>
    </xdr:from>
    <xdr:to>
      <xdr:col>6</xdr:col>
      <xdr:colOff>51961</xdr:colOff>
      <xdr:row>39</xdr:row>
      <xdr:rowOff>54118</xdr:rowOff>
    </xdr:to>
    <xdr:sp macro="" textlink="Piviot!A22">
      <xdr:nvSpPr>
        <xdr:cNvPr id="45" name="TextBox 44">
          <a:extLst>
            <a:ext uri="{FF2B5EF4-FFF2-40B4-BE49-F238E27FC236}">
              <a16:creationId xmlns:a16="http://schemas.microsoft.com/office/drawing/2014/main" id="{CD4A624C-5D84-4826-93F0-A9ACA7213EC5}"/>
            </a:ext>
          </a:extLst>
        </xdr:cNvPr>
        <xdr:cNvSpPr txBox="1"/>
      </xdr:nvSpPr>
      <xdr:spPr>
        <a:xfrm>
          <a:off x="2926783" y="6548439"/>
          <a:ext cx="1281542" cy="2597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marL="0" indent="0" algn="l"/>
          <a:fld id="{3AD1F3B2-BF2F-458D-ADAD-C8D9DA980587}" type="TxLink">
            <a:rPr lang="en-US" sz="1600" b="1" i="0" u="none" strike="noStrike">
              <a:solidFill>
                <a:srgbClr val="000000"/>
              </a:solidFill>
              <a:latin typeface="Arial"/>
              <a:ea typeface="+mn-ea"/>
              <a:cs typeface="Arial"/>
            </a:rPr>
            <a:pPr marL="0" indent="0" algn="l"/>
            <a:t>Home Goods</a:t>
          </a:fld>
          <a:endParaRPr lang="ar-EG" sz="1600" b="1" i="0" u="none" strike="noStrike">
            <a:solidFill>
              <a:srgbClr val="000000"/>
            </a:solidFill>
            <a:latin typeface="Arial"/>
            <a:ea typeface="+mn-ea"/>
            <a:cs typeface="Arial"/>
          </a:endParaRPr>
        </a:p>
      </xdr:txBody>
    </xdr:sp>
    <xdr:clientData/>
  </xdr:twoCellAnchor>
  <xdr:twoCellAnchor>
    <xdr:from>
      <xdr:col>4</xdr:col>
      <xdr:colOff>155874</xdr:colOff>
      <xdr:row>40</xdr:row>
      <xdr:rowOff>129886</xdr:rowOff>
    </xdr:from>
    <xdr:to>
      <xdr:col>6</xdr:col>
      <xdr:colOff>51961</xdr:colOff>
      <xdr:row>42</xdr:row>
      <xdr:rowOff>43293</xdr:rowOff>
    </xdr:to>
    <xdr:sp macro="" textlink="Piviot!A23">
      <xdr:nvSpPr>
        <xdr:cNvPr id="46" name="TextBox 45">
          <a:extLst>
            <a:ext uri="{FF2B5EF4-FFF2-40B4-BE49-F238E27FC236}">
              <a16:creationId xmlns:a16="http://schemas.microsoft.com/office/drawing/2014/main" id="{B411C3FE-EE08-42EB-82E9-808C15F55832}"/>
            </a:ext>
          </a:extLst>
        </xdr:cNvPr>
        <xdr:cNvSpPr txBox="1"/>
      </xdr:nvSpPr>
      <xdr:spPr>
        <a:xfrm>
          <a:off x="2926783" y="7057159"/>
          <a:ext cx="1281542" cy="2597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marL="0" indent="0" algn="l"/>
          <a:fld id="{9F3D5105-5642-4136-81F9-8D068A825E55}" type="TxLink">
            <a:rPr lang="en-US" sz="1600" b="1" i="0" u="none" strike="noStrike">
              <a:solidFill>
                <a:srgbClr val="000000"/>
              </a:solidFill>
              <a:latin typeface="Arial"/>
              <a:ea typeface="+mn-ea"/>
              <a:cs typeface="Arial"/>
            </a:rPr>
            <a:pPr marL="0" indent="0" algn="l"/>
            <a:t>Sports</a:t>
          </a:fld>
          <a:endParaRPr lang="ar-EG" sz="1600" b="1" i="0" u="none" strike="noStrike">
            <a:solidFill>
              <a:srgbClr val="000000"/>
            </a:solidFill>
            <a:latin typeface="Arial"/>
            <a:ea typeface="+mn-ea"/>
            <a:cs typeface="Arial"/>
          </a:endParaRPr>
        </a:p>
      </xdr:txBody>
    </xdr:sp>
    <xdr:clientData/>
  </xdr:twoCellAnchor>
  <xdr:twoCellAnchor>
    <xdr:from>
      <xdr:col>6</xdr:col>
      <xdr:colOff>17327</xdr:colOff>
      <xdr:row>29</xdr:row>
      <xdr:rowOff>1</xdr:rowOff>
    </xdr:from>
    <xdr:to>
      <xdr:col>7</xdr:col>
      <xdr:colOff>225142</xdr:colOff>
      <xdr:row>30</xdr:row>
      <xdr:rowOff>121227</xdr:rowOff>
    </xdr:to>
    <xdr:sp macro="" textlink="Piviot!B19">
      <xdr:nvSpPr>
        <xdr:cNvPr id="47" name="TextBox 46">
          <a:extLst>
            <a:ext uri="{FF2B5EF4-FFF2-40B4-BE49-F238E27FC236}">
              <a16:creationId xmlns:a16="http://schemas.microsoft.com/office/drawing/2014/main" id="{475DA45C-C868-411F-9DEC-CB0EF62C02A6}"/>
            </a:ext>
          </a:extLst>
        </xdr:cNvPr>
        <xdr:cNvSpPr txBox="1"/>
      </xdr:nvSpPr>
      <xdr:spPr>
        <a:xfrm>
          <a:off x="4173691" y="5022274"/>
          <a:ext cx="900542" cy="29440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marL="0" indent="0" algn="l"/>
          <a:fld id="{BED1117D-3FB3-4053-9E29-4BF4A81EFED6}" type="TxLink">
            <a:rPr lang="en-US" sz="1600" b="1" i="0" u="none" strike="noStrike">
              <a:solidFill>
                <a:srgbClr val="000000"/>
              </a:solidFill>
              <a:latin typeface="Kulim Park"/>
              <a:ea typeface="+mn-ea"/>
              <a:cs typeface="Arial"/>
            </a:rPr>
            <a:pPr marL="0" indent="0" algn="l"/>
            <a:t> $29,182 </a:t>
          </a:fld>
          <a:endParaRPr lang="en-US" sz="2400" b="1" i="0" u="none" strike="noStrike">
            <a:solidFill>
              <a:srgbClr val="000000"/>
            </a:solidFill>
            <a:latin typeface="Arial"/>
            <a:ea typeface="+mn-ea"/>
            <a:cs typeface="Arial"/>
          </a:endParaRPr>
        </a:p>
      </xdr:txBody>
    </xdr:sp>
    <xdr:clientData/>
  </xdr:twoCellAnchor>
  <xdr:twoCellAnchor>
    <xdr:from>
      <xdr:col>6</xdr:col>
      <xdr:colOff>17327</xdr:colOff>
      <xdr:row>31</xdr:row>
      <xdr:rowOff>162358</xdr:rowOff>
    </xdr:from>
    <xdr:to>
      <xdr:col>7</xdr:col>
      <xdr:colOff>311733</xdr:colOff>
      <xdr:row>33</xdr:row>
      <xdr:rowOff>155863</xdr:rowOff>
    </xdr:to>
    <xdr:sp macro="" textlink="Piviot!B20">
      <xdr:nvSpPr>
        <xdr:cNvPr id="50" name="TextBox 49">
          <a:extLst>
            <a:ext uri="{FF2B5EF4-FFF2-40B4-BE49-F238E27FC236}">
              <a16:creationId xmlns:a16="http://schemas.microsoft.com/office/drawing/2014/main" id="{B43266E6-E542-4EAA-A844-3DF06EA8A572}"/>
            </a:ext>
          </a:extLst>
        </xdr:cNvPr>
        <xdr:cNvSpPr txBox="1"/>
      </xdr:nvSpPr>
      <xdr:spPr>
        <a:xfrm>
          <a:off x="4173691" y="5530994"/>
          <a:ext cx="987133" cy="3398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marL="0" indent="0" algn="l"/>
          <a:fld id="{2CECD95D-808B-46C0-B948-B0CE0F9D755F}" type="TxLink">
            <a:rPr lang="en-US" sz="1600" b="1" i="0" u="none" strike="noStrike">
              <a:solidFill>
                <a:srgbClr val="000000"/>
              </a:solidFill>
              <a:latin typeface="Arial"/>
              <a:ea typeface="+mn-ea"/>
              <a:cs typeface="Arial"/>
            </a:rPr>
            <a:pPr marL="0" indent="0" algn="l"/>
            <a:t> $27,014 </a:t>
          </a:fld>
          <a:endParaRPr lang="en-US" sz="1600" b="1" i="0" u="none" strike="noStrike">
            <a:solidFill>
              <a:srgbClr val="000000"/>
            </a:solidFill>
            <a:latin typeface="Arial"/>
            <a:ea typeface="+mn-ea"/>
            <a:cs typeface="Arial"/>
          </a:endParaRPr>
        </a:p>
      </xdr:txBody>
    </xdr:sp>
    <xdr:clientData/>
  </xdr:twoCellAnchor>
  <xdr:twoCellAnchor>
    <xdr:from>
      <xdr:col>6</xdr:col>
      <xdr:colOff>17327</xdr:colOff>
      <xdr:row>34</xdr:row>
      <xdr:rowOff>151534</xdr:rowOff>
    </xdr:from>
    <xdr:to>
      <xdr:col>7</xdr:col>
      <xdr:colOff>329051</xdr:colOff>
      <xdr:row>36</xdr:row>
      <xdr:rowOff>69273</xdr:rowOff>
    </xdr:to>
    <xdr:sp macro="" textlink="Piviot!B21">
      <xdr:nvSpPr>
        <xdr:cNvPr id="51" name="TextBox 50">
          <a:extLst>
            <a:ext uri="{FF2B5EF4-FFF2-40B4-BE49-F238E27FC236}">
              <a16:creationId xmlns:a16="http://schemas.microsoft.com/office/drawing/2014/main" id="{59879726-DC9E-41FE-AC83-4C75C93FCA69}"/>
            </a:ext>
          </a:extLst>
        </xdr:cNvPr>
        <xdr:cNvSpPr txBox="1"/>
      </xdr:nvSpPr>
      <xdr:spPr>
        <a:xfrm>
          <a:off x="4173691" y="6039716"/>
          <a:ext cx="1004451" cy="2641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marL="0" indent="0" algn="l"/>
          <a:fld id="{0FBA39C9-C08E-4D7F-BD65-3EE090AD72D0}" type="TxLink">
            <a:rPr lang="en-US" sz="1600" b="1" i="0" u="none" strike="noStrike">
              <a:solidFill>
                <a:srgbClr val="000000"/>
              </a:solidFill>
              <a:latin typeface="Arial"/>
              <a:ea typeface="+mn-ea"/>
              <a:cs typeface="Arial"/>
            </a:rPr>
            <a:pPr marL="0" indent="0" algn="l"/>
            <a:t> $39,310 </a:t>
          </a:fld>
          <a:endParaRPr lang="en-US" sz="1600" b="1" i="0" u="none" strike="noStrike">
            <a:solidFill>
              <a:srgbClr val="000000"/>
            </a:solidFill>
            <a:latin typeface="Arial"/>
            <a:ea typeface="+mn-ea"/>
            <a:cs typeface="Arial"/>
          </a:endParaRPr>
        </a:p>
      </xdr:txBody>
    </xdr:sp>
    <xdr:clientData/>
  </xdr:twoCellAnchor>
  <xdr:twoCellAnchor>
    <xdr:from>
      <xdr:col>6</xdr:col>
      <xdr:colOff>17327</xdr:colOff>
      <xdr:row>37</xdr:row>
      <xdr:rowOff>140709</xdr:rowOff>
    </xdr:from>
    <xdr:to>
      <xdr:col>7</xdr:col>
      <xdr:colOff>311733</xdr:colOff>
      <xdr:row>39</xdr:row>
      <xdr:rowOff>103908</xdr:rowOff>
    </xdr:to>
    <xdr:sp macro="" textlink="Piviot!B22">
      <xdr:nvSpPr>
        <xdr:cNvPr id="52" name="TextBox 51">
          <a:extLst>
            <a:ext uri="{FF2B5EF4-FFF2-40B4-BE49-F238E27FC236}">
              <a16:creationId xmlns:a16="http://schemas.microsoft.com/office/drawing/2014/main" id="{ABF51259-B3F8-4131-8C49-7441BAEABE0A}"/>
            </a:ext>
          </a:extLst>
        </xdr:cNvPr>
        <xdr:cNvSpPr txBox="1"/>
      </xdr:nvSpPr>
      <xdr:spPr>
        <a:xfrm>
          <a:off x="4173691" y="6548436"/>
          <a:ext cx="987133" cy="3095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marL="0" indent="0" algn="l"/>
          <a:fld id="{8467C0BF-3F2E-4AEA-A010-16665D632960}" type="TxLink">
            <a:rPr lang="en-US" sz="1600" b="1" i="0" u="none" strike="noStrike">
              <a:solidFill>
                <a:srgbClr val="000000"/>
              </a:solidFill>
              <a:latin typeface="Arial"/>
              <a:ea typeface="+mn-ea"/>
              <a:cs typeface="Arial"/>
            </a:rPr>
            <a:pPr marL="0" indent="0" algn="l"/>
            <a:t> $51,360 </a:t>
          </a:fld>
          <a:endParaRPr lang="en-US" sz="1600" b="1" i="0" u="none" strike="noStrike">
            <a:solidFill>
              <a:srgbClr val="000000"/>
            </a:solidFill>
            <a:latin typeface="Arial"/>
            <a:ea typeface="+mn-ea"/>
            <a:cs typeface="Arial"/>
          </a:endParaRPr>
        </a:p>
      </xdr:txBody>
    </xdr:sp>
    <xdr:clientData/>
  </xdr:twoCellAnchor>
  <xdr:twoCellAnchor>
    <xdr:from>
      <xdr:col>6</xdr:col>
      <xdr:colOff>17327</xdr:colOff>
      <xdr:row>40</xdr:row>
      <xdr:rowOff>129885</xdr:rowOff>
    </xdr:from>
    <xdr:to>
      <xdr:col>7</xdr:col>
      <xdr:colOff>363687</xdr:colOff>
      <xdr:row>42</xdr:row>
      <xdr:rowOff>121228</xdr:rowOff>
    </xdr:to>
    <xdr:sp macro="" textlink="Piviot!B23">
      <xdr:nvSpPr>
        <xdr:cNvPr id="53" name="TextBox 52">
          <a:extLst>
            <a:ext uri="{FF2B5EF4-FFF2-40B4-BE49-F238E27FC236}">
              <a16:creationId xmlns:a16="http://schemas.microsoft.com/office/drawing/2014/main" id="{6FE764D7-E4F7-4F61-BEDE-484B8C1BC026}"/>
            </a:ext>
          </a:extLst>
        </xdr:cNvPr>
        <xdr:cNvSpPr txBox="1"/>
      </xdr:nvSpPr>
      <xdr:spPr>
        <a:xfrm>
          <a:off x="4173691" y="7057158"/>
          <a:ext cx="1039087" cy="3377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marL="0" indent="0" algn="l"/>
          <a:fld id="{6C69CD09-D11D-4A39-BD25-D8076F05FCF4}" type="TxLink">
            <a:rPr lang="en-US" sz="1600" b="1" i="0" u="none" strike="noStrike">
              <a:solidFill>
                <a:srgbClr val="000000"/>
              </a:solidFill>
              <a:latin typeface="Arial"/>
              <a:ea typeface="+mn-ea"/>
              <a:cs typeface="Arial"/>
            </a:rPr>
            <a:pPr marL="0" indent="0" algn="l"/>
            <a:t> $61,905 </a:t>
          </a:fld>
          <a:endParaRPr lang="en-US" sz="1600" b="1" i="0" u="none" strike="noStrike">
            <a:solidFill>
              <a:srgbClr val="000000"/>
            </a:solidFill>
            <a:latin typeface="Arial"/>
            <a:ea typeface="+mn-ea"/>
            <a:cs typeface="Arial"/>
          </a:endParaRPr>
        </a:p>
      </xdr:txBody>
    </xdr:sp>
    <xdr:clientData/>
  </xdr:twoCellAnchor>
  <xdr:twoCellAnchor editAs="oneCell">
    <xdr:from>
      <xdr:col>3</xdr:col>
      <xdr:colOff>623461</xdr:colOff>
      <xdr:row>29</xdr:row>
      <xdr:rowOff>1</xdr:rowOff>
    </xdr:from>
    <xdr:to>
      <xdr:col>4</xdr:col>
      <xdr:colOff>225143</xdr:colOff>
      <xdr:row>30</xdr:row>
      <xdr:rowOff>121228</xdr:rowOff>
    </xdr:to>
    <xdr:pic>
      <xdr:nvPicPr>
        <xdr:cNvPr id="6" name="Picture 5">
          <a:extLst>
            <a:ext uri="{FF2B5EF4-FFF2-40B4-BE49-F238E27FC236}">
              <a16:creationId xmlns:a16="http://schemas.microsoft.com/office/drawing/2014/main" id="{31B676B5-6610-48BA-A8F2-12D4022DEA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01643" y="5022274"/>
          <a:ext cx="294409" cy="294409"/>
        </a:xfrm>
        <a:prstGeom prst="rect">
          <a:avLst/>
        </a:prstGeom>
      </xdr:spPr>
    </xdr:pic>
    <xdr:clientData/>
  </xdr:twoCellAnchor>
  <xdr:twoCellAnchor editAs="oneCell">
    <xdr:from>
      <xdr:col>3</xdr:col>
      <xdr:colOff>623461</xdr:colOff>
      <xdr:row>37</xdr:row>
      <xdr:rowOff>103910</xdr:rowOff>
    </xdr:from>
    <xdr:to>
      <xdr:col>4</xdr:col>
      <xdr:colOff>213817</xdr:colOff>
      <xdr:row>39</xdr:row>
      <xdr:rowOff>50154</xdr:rowOff>
    </xdr:to>
    <xdr:pic>
      <xdr:nvPicPr>
        <xdr:cNvPr id="7" name="Picture 6">
          <a:extLst>
            <a:ext uri="{FF2B5EF4-FFF2-40B4-BE49-F238E27FC236}">
              <a16:creationId xmlns:a16="http://schemas.microsoft.com/office/drawing/2014/main" id="{6C06A134-2580-4B1F-A532-833E3FF2C3F5}"/>
            </a:ext>
          </a:extLst>
        </xdr:cNvPr>
        <xdr:cNvPicPr>
          <a:picLocks noChangeAspect="1"/>
        </xdr:cNvPicPr>
      </xdr:nvPicPr>
      <xdr:blipFill>
        <a:blip xmlns:r="http://schemas.openxmlformats.org/officeDocument/2006/relationships" r:embed="rId2"/>
        <a:stretch>
          <a:fillRect/>
        </a:stretch>
      </xdr:blipFill>
      <xdr:spPr>
        <a:xfrm>
          <a:off x="2701643" y="6511637"/>
          <a:ext cx="283083" cy="292608"/>
        </a:xfrm>
        <a:prstGeom prst="rect">
          <a:avLst/>
        </a:prstGeom>
      </xdr:spPr>
    </xdr:pic>
    <xdr:clientData/>
  </xdr:twoCellAnchor>
  <xdr:twoCellAnchor editAs="oneCell">
    <xdr:from>
      <xdr:col>3</xdr:col>
      <xdr:colOff>623461</xdr:colOff>
      <xdr:row>40</xdr:row>
      <xdr:rowOff>138545</xdr:rowOff>
    </xdr:from>
    <xdr:to>
      <xdr:col>4</xdr:col>
      <xdr:colOff>213817</xdr:colOff>
      <xdr:row>42</xdr:row>
      <xdr:rowOff>84790</xdr:rowOff>
    </xdr:to>
    <xdr:pic>
      <xdr:nvPicPr>
        <xdr:cNvPr id="16" name="Picture 15">
          <a:extLst>
            <a:ext uri="{FF2B5EF4-FFF2-40B4-BE49-F238E27FC236}">
              <a16:creationId xmlns:a16="http://schemas.microsoft.com/office/drawing/2014/main" id="{A0800D2F-5090-4751-844D-0CA388A01610}"/>
            </a:ext>
          </a:extLst>
        </xdr:cNvPr>
        <xdr:cNvPicPr>
          <a:picLocks noChangeAspect="1"/>
        </xdr:cNvPicPr>
      </xdr:nvPicPr>
      <xdr:blipFill>
        <a:blip xmlns:r="http://schemas.openxmlformats.org/officeDocument/2006/relationships" r:embed="rId3"/>
        <a:stretch>
          <a:fillRect/>
        </a:stretch>
      </xdr:blipFill>
      <xdr:spPr>
        <a:xfrm>
          <a:off x="2701643" y="7065818"/>
          <a:ext cx="283083" cy="292608"/>
        </a:xfrm>
        <a:prstGeom prst="rect">
          <a:avLst/>
        </a:prstGeom>
      </xdr:spPr>
    </xdr:pic>
    <xdr:clientData/>
  </xdr:twoCellAnchor>
  <xdr:twoCellAnchor editAs="oneCell">
    <xdr:from>
      <xdr:col>3</xdr:col>
      <xdr:colOff>623460</xdr:colOff>
      <xdr:row>32</xdr:row>
      <xdr:rowOff>0</xdr:rowOff>
    </xdr:from>
    <xdr:to>
      <xdr:col>4</xdr:col>
      <xdr:colOff>213816</xdr:colOff>
      <xdr:row>33</xdr:row>
      <xdr:rowOff>119426</xdr:rowOff>
    </xdr:to>
    <xdr:pic>
      <xdr:nvPicPr>
        <xdr:cNvPr id="19" name="Picture 18">
          <a:extLst>
            <a:ext uri="{FF2B5EF4-FFF2-40B4-BE49-F238E27FC236}">
              <a16:creationId xmlns:a16="http://schemas.microsoft.com/office/drawing/2014/main" id="{6E86D0A3-9B81-4010-B252-AA6C426F4EB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701642" y="5541818"/>
          <a:ext cx="283083" cy="292608"/>
        </a:xfrm>
        <a:prstGeom prst="rect">
          <a:avLst/>
        </a:prstGeom>
      </xdr:spPr>
    </xdr:pic>
    <xdr:clientData/>
  </xdr:twoCellAnchor>
  <xdr:twoCellAnchor editAs="oneCell">
    <xdr:from>
      <xdr:col>3</xdr:col>
      <xdr:colOff>606143</xdr:colOff>
      <xdr:row>35</xdr:row>
      <xdr:rowOff>0</xdr:rowOff>
    </xdr:from>
    <xdr:to>
      <xdr:col>4</xdr:col>
      <xdr:colOff>206024</xdr:colOff>
      <xdr:row>36</xdr:row>
      <xdr:rowOff>119427</xdr:rowOff>
    </xdr:to>
    <xdr:pic>
      <xdr:nvPicPr>
        <xdr:cNvPr id="21" name="Picture 20">
          <a:extLst>
            <a:ext uri="{FF2B5EF4-FFF2-40B4-BE49-F238E27FC236}">
              <a16:creationId xmlns:a16="http://schemas.microsoft.com/office/drawing/2014/main" id="{8187E4B8-83E5-4781-83D0-BC0A70E800A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684325" y="6061364"/>
          <a:ext cx="292608" cy="292608"/>
        </a:xfrm>
        <a:prstGeom prst="rect">
          <a:avLst/>
        </a:prstGeom>
      </xdr:spPr>
    </xdr:pic>
    <xdr:clientData/>
  </xdr:twoCellAnchor>
  <xdr:twoCellAnchor>
    <xdr:from>
      <xdr:col>7</xdr:col>
      <xdr:colOff>389668</xdr:colOff>
      <xdr:row>16</xdr:row>
      <xdr:rowOff>103908</xdr:rowOff>
    </xdr:from>
    <xdr:to>
      <xdr:col>13</xdr:col>
      <xdr:colOff>173187</xdr:colOff>
      <xdr:row>29</xdr:row>
      <xdr:rowOff>138544</xdr:rowOff>
    </xdr:to>
    <xdr:sp macro="" textlink="">
      <xdr:nvSpPr>
        <xdr:cNvPr id="60" name="Rectangle: Rounded Corners 59">
          <a:extLst>
            <a:ext uri="{FF2B5EF4-FFF2-40B4-BE49-F238E27FC236}">
              <a16:creationId xmlns:a16="http://schemas.microsoft.com/office/drawing/2014/main" id="{B43D489B-39D2-4223-885D-5888FBA8F2FB}"/>
            </a:ext>
          </a:extLst>
        </xdr:cNvPr>
        <xdr:cNvSpPr/>
      </xdr:nvSpPr>
      <xdr:spPr>
        <a:xfrm>
          <a:off x="5238759" y="2874817"/>
          <a:ext cx="3939883" cy="2286000"/>
        </a:xfrm>
        <a:prstGeom prst="roundRect">
          <a:avLst/>
        </a:prstGeom>
        <a:solidFill>
          <a:srgbClr val="262626"/>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xdr:from>
      <xdr:col>7</xdr:col>
      <xdr:colOff>554202</xdr:colOff>
      <xdr:row>17</xdr:row>
      <xdr:rowOff>34636</xdr:rowOff>
    </xdr:from>
    <xdr:to>
      <xdr:col>12</xdr:col>
      <xdr:colOff>675416</xdr:colOff>
      <xdr:row>29</xdr:row>
      <xdr:rowOff>0</xdr:rowOff>
    </xdr:to>
    <xdr:graphicFrame macro="">
      <xdr:nvGraphicFramePr>
        <xdr:cNvPr id="59" name="Chart 58">
          <a:extLst>
            <a:ext uri="{FF2B5EF4-FFF2-40B4-BE49-F238E27FC236}">
              <a16:creationId xmlns:a16="http://schemas.microsoft.com/office/drawing/2014/main" id="{2B701733-A9A1-4372-9E71-C95FA00CA2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303081</xdr:colOff>
      <xdr:row>16</xdr:row>
      <xdr:rowOff>103908</xdr:rowOff>
    </xdr:from>
    <xdr:to>
      <xdr:col>18</xdr:col>
      <xdr:colOff>294419</xdr:colOff>
      <xdr:row>29</xdr:row>
      <xdr:rowOff>138544</xdr:rowOff>
    </xdr:to>
    <xdr:sp macro="" textlink="">
      <xdr:nvSpPr>
        <xdr:cNvPr id="61" name="Rectangle: Rounded Corners 60">
          <a:extLst>
            <a:ext uri="{FF2B5EF4-FFF2-40B4-BE49-F238E27FC236}">
              <a16:creationId xmlns:a16="http://schemas.microsoft.com/office/drawing/2014/main" id="{9CFFCC4B-2587-447C-BA9D-72135D123591}"/>
            </a:ext>
          </a:extLst>
        </xdr:cNvPr>
        <xdr:cNvSpPr/>
      </xdr:nvSpPr>
      <xdr:spPr>
        <a:xfrm>
          <a:off x="9308536" y="2874817"/>
          <a:ext cx="3454974" cy="2286000"/>
        </a:xfrm>
        <a:prstGeom prst="roundRect">
          <a:avLst/>
        </a:prstGeom>
        <a:solidFill>
          <a:srgbClr val="262626"/>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xdr:from>
      <xdr:col>13</xdr:col>
      <xdr:colOff>571510</xdr:colOff>
      <xdr:row>17</xdr:row>
      <xdr:rowOff>51955</xdr:rowOff>
    </xdr:from>
    <xdr:to>
      <xdr:col>17</xdr:col>
      <xdr:colOff>103909</xdr:colOff>
      <xdr:row>20</xdr:row>
      <xdr:rowOff>121227</xdr:rowOff>
    </xdr:to>
    <xdr:sp macro="" textlink="Piviot!A19">
      <xdr:nvSpPr>
        <xdr:cNvPr id="62" name="TextBox 61">
          <a:extLst>
            <a:ext uri="{FF2B5EF4-FFF2-40B4-BE49-F238E27FC236}">
              <a16:creationId xmlns:a16="http://schemas.microsoft.com/office/drawing/2014/main" id="{29083D4B-41D6-4CF0-A514-E00C3DD18890}"/>
            </a:ext>
          </a:extLst>
        </xdr:cNvPr>
        <xdr:cNvSpPr txBox="1"/>
      </xdr:nvSpPr>
      <xdr:spPr>
        <a:xfrm>
          <a:off x="9576965" y="2996046"/>
          <a:ext cx="2303308" cy="5888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marL="0" indent="0" algn="l"/>
          <a:r>
            <a:rPr lang="en-US" sz="1600" b="1" i="0" u="none" strike="noStrike">
              <a:solidFill>
                <a:srgbClr val="000000"/>
              </a:solidFill>
              <a:latin typeface="Kulim Park"/>
              <a:ea typeface="+mn-ea"/>
              <a:cs typeface="Arial"/>
            </a:rPr>
            <a:t>Ranking For Regions Managers</a:t>
          </a:r>
        </a:p>
      </xdr:txBody>
    </xdr:sp>
    <xdr:clientData/>
  </xdr:twoCellAnchor>
  <xdr:twoCellAnchor>
    <xdr:from>
      <xdr:col>13</xdr:col>
      <xdr:colOff>606145</xdr:colOff>
      <xdr:row>20</xdr:row>
      <xdr:rowOff>155865</xdr:rowOff>
    </xdr:from>
    <xdr:to>
      <xdr:col>15</xdr:col>
      <xdr:colOff>467590</xdr:colOff>
      <xdr:row>22</xdr:row>
      <xdr:rowOff>121226</xdr:rowOff>
    </xdr:to>
    <xdr:sp macro="" textlink="Piviot!H3">
      <xdr:nvSpPr>
        <xdr:cNvPr id="63" name="TextBox 62">
          <a:extLst>
            <a:ext uri="{FF2B5EF4-FFF2-40B4-BE49-F238E27FC236}">
              <a16:creationId xmlns:a16="http://schemas.microsoft.com/office/drawing/2014/main" id="{769DFFD7-31B2-4545-ADCE-D03F50C8A050}"/>
            </a:ext>
          </a:extLst>
        </xdr:cNvPr>
        <xdr:cNvSpPr txBox="1"/>
      </xdr:nvSpPr>
      <xdr:spPr>
        <a:xfrm>
          <a:off x="9611600" y="3619501"/>
          <a:ext cx="1246899" cy="3117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marL="0" indent="0" algn="l"/>
          <a:fld id="{15C305A5-AF16-420C-8DB6-2AC8033DFB6F}" type="TxLink">
            <a:rPr lang="en-US" sz="1600" b="1" i="0" u="none" strike="noStrike">
              <a:solidFill>
                <a:srgbClr val="000000"/>
              </a:solidFill>
              <a:latin typeface="Kulim Park"/>
              <a:ea typeface="+mn-ea"/>
              <a:cs typeface="Arial"/>
            </a:rPr>
            <a:pPr marL="0" indent="0" algn="l"/>
            <a:t>Lisa White</a:t>
          </a:fld>
          <a:endParaRPr lang="en-US" sz="2400" b="1" i="0" u="none" strike="noStrike">
            <a:solidFill>
              <a:srgbClr val="000000"/>
            </a:solidFill>
            <a:latin typeface="Arial"/>
            <a:ea typeface="+mn-ea"/>
            <a:cs typeface="Arial"/>
          </a:endParaRPr>
        </a:p>
      </xdr:txBody>
    </xdr:sp>
    <xdr:clientData/>
  </xdr:twoCellAnchor>
  <xdr:twoCellAnchor>
    <xdr:from>
      <xdr:col>13</xdr:col>
      <xdr:colOff>606145</xdr:colOff>
      <xdr:row>22</xdr:row>
      <xdr:rowOff>167411</xdr:rowOff>
    </xdr:from>
    <xdr:to>
      <xdr:col>15</xdr:col>
      <xdr:colOff>467590</xdr:colOff>
      <xdr:row>24</xdr:row>
      <xdr:rowOff>103909</xdr:rowOff>
    </xdr:to>
    <xdr:sp macro="" textlink="Piviot!H4">
      <xdr:nvSpPr>
        <xdr:cNvPr id="64" name="TextBox 63">
          <a:extLst>
            <a:ext uri="{FF2B5EF4-FFF2-40B4-BE49-F238E27FC236}">
              <a16:creationId xmlns:a16="http://schemas.microsoft.com/office/drawing/2014/main" id="{367AE8A0-865D-45FB-AEB8-1F17DA771D00}"/>
            </a:ext>
          </a:extLst>
        </xdr:cNvPr>
        <xdr:cNvSpPr txBox="1"/>
      </xdr:nvSpPr>
      <xdr:spPr>
        <a:xfrm>
          <a:off x="9492410" y="4111882"/>
          <a:ext cx="1228562" cy="2950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marL="0" indent="0" algn="l"/>
          <a:fld id="{07F53D49-C199-4B2E-8F10-4B27044AE7CE}" type="TxLink">
            <a:rPr lang="en-US" sz="1600" b="1" i="0" u="none" strike="noStrike">
              <a:solidFill>
                <a:srgbClr val="000000"/>
              </a:solidFill>
              <a:latin typeface="Kulim Park"/>
              <a:ea typeface="+mn-ea"/>
              <a:cs typeface="Arial"/>
            </a:rPr>
            <a:pPr marL="0" indent="0" algn="l"/>
            <a:t>Mark Davis</a:t>
          </a:fld>
          <a:endParaRPr lang="en-US" sz="2400" b="1" i="0" u="none" strike="noStrike">
            <a:solidFill>
              <a:srgbClr val="000000"/>
            </a:solidFill>
            <a:latin typeface="Kulim Park"/>
            <a:ea typeface="+mn-ea"/>
            <a:cs typeface="Arial"/>
          </a:endParaRPr>
        </a:p>
      </xdr:txBody>
    </xdr:sp>
    <xdr:clientData/>
  </xdr:twoCellAnchor>
  <xdr:twoCellAnchor>
    <xdr:from>
      <xdr:col>13</xdr:col>
      <xdr:colOff>606146</xdr:colOff>
      <xdr:row>25</xdr:row>
      <xdr:rowOff>5774</xdr:rowOff>
    </xdr:from>
    <xdr:to>
      <xdr:col>16</xdr:col>
      <xdr:colOff>86591</xdr:colOff>
      <xdr:row>26</xdr:row>
      <xdr:rowOff>173181</xdr:rowOff>
    </xdr:to>
    <xdr:sp macro="" textlink="Piviot!H5">
      <xdr:nvSpPr>
        <xdr:cNvPr id="69" name="TextBox 68">
          <a:extLst>
            <a:ext uri="{FF2B5EF4-FFF2-40B4-BE49-F238E27FC236}">
              <a16:creationId xmlns:a16="http://schemas.microsoft.com/office/drawing/2014/main" id="{1A29AFAC-38E0-48CA-8E5A-1533005FC83F}"/>
            </a:ext>
          </a:extLst>
        </xdr:cNvPr>
        <xdr:cNvSpPr txBox="1"/>
      </xdr:nvSpPr>
      <xdr:spPr>
        <a:xfrm>
          <a:off x="9492411" y="4488127"/>
          <a:ext cx="1531121" cy="3467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marL="0" indent="0" algn="l"/>
          <a:fld id="{B501AE17-8B0E-4B65-9DF7-21A96B60D56A}" type="TxLink">
            <a:rPr lang="en-US" sz="1800" b="1" i="0" u="none" strike="noStrike">
              <a:solidFill>
                <a:srgbClr val="000000"/>
              </a:solidFill>
              <a:latin typeface="Kulim Park"/>
              <a:ea typeface="+mn-ea"/>
              <a:cs typeface="Arial"/>
            </a:rPr>
            <a:pPr marL="0" indent="0" algn="l"/>
            <a:t>Sarah Johnson</a:t>
          </a:fld>
          <a:endParaRPr lang="en-US" sz="2800" b="1" i="0" u="none" strike="noStrike">
            <a:solidFill>
              <a:srgbClr val="000000"/>
            </a:solidFill>
            <a:latin typeface="Kulim Park"/>
            <a:ea typeface="+mn-ea"/>
            <a:cs typeface="Arial"/>
          </a:endParaRPr>
        </a:p>
      </xdr:txBody>
    </xdr:sp>
    <xdr:clientData/>
  </xdr:twoCellAnchor>
  <xdr:twoCellAnchor>
    <xdr:from>
      <xdr:col>13</xdr:col>
      <xdr:colOff>606145</xdr:colOff>
      <xdr:row>27</xdr:row>
      <xdr:rowOff>17320</xdr:rowOff>
    </xdr:from>
    <xdr:to>
      <xdr:col>15</xdr:col>
      <xdr:colOff>450272</xdr:colOff>
      <xdr:row>29</xdr:row>
      <xdr:rowOff>0</xdr:rowOff>
    </xdr:to>
    <xdr:sp macro="" textlink="Piviot!H6">
      <xdr:nvSpPr>
        <xdr:cNvPr id="70" name="TextBox 69">
          <a:extLst>
            <a:ext uri="{FF2B5EF4-FFF2-40B4-BE49-F238E27FC236}">
              <a16:creationId xmlns:a16="http://schemas.microsoft.com/office/drawing/2014/main" id="{1EDD5697-857E-47DF-A71A-21F0AA3A786D}"/>
            </a:ext>
          </a:extLst>
        </xdr:cNvPr>
        <xdr:cNvSpPr txBox="1"/>
      </xdr:nvSpPr>
      <xdr:spPr>
        <a:xfrm>
          <a:off x="9492410" y="4858261"/>
          <a:ext cx="1211244" cy="3412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marL="0" indent="0" algn="l"/>
          <a:fld id="{5CFF753A-7D69-44A9-874F-805CDF52DFD5}" type="TxLink">
            <a:rPr lang="en-US" sz="1600" b="1" i="0" u="none" strike="noStrike">
              <a:solidFill>
                <a:srgbClr val="000000"/>
              </a:solidFill>
              <a:latin typeface="Kulim Park"/>
              <a:ea typeface="+mn-ea"/>
              <a:cs typeface="Arial"/>
            </a:rPr>
            <a:pPr marL="0" indent="0" algn="l"/>
            <a:t>Tom Brown</a:t>
          </a:fld>
          <a:endParaRPr lang="en-US" sz="2400" b="1" i="0" u="none" strike="noStrike">
            <a:solidFill>
              <a:srgbClr val="000000"/>
            </a:solidFill>
            <a:latin typeface="Kulim Park"/>
            <a:ea typeface="+mn-ea"/>
            <a:cs typeface="Arial"/>
          </a:endParaRPr>
        </a:p>
      </xdr:txBody>
    </xdr:sp>
    <xdr:clientData/>
  </xdr:twoCellAnchor>
  <xdr:twoCellAnchor>
    <xdr:from>
      <xdr:col>13</xdr:col>
      <xdr:colOff>414618</xdr:colOff>
      <xdr:row>21</xdr:row>
      <xdr:rowOff>45841</xdr:rowOff>
    </xdr:from>
    <xdr:to>
      <xdr:col>13</xdr:col>
      <xdr:colOff>638736</xdr:colOff>
      <xdr:row>22</xdr:row>
      <xdr:rowOff>67235</xdr:rowOff>
    </xdr:to>
    <xdr:sp macro="" textlink="">
      <xdr:nvSpPr>
        <xdr:cNvPr id="8" name="Oval 7">
          <a:extLst>
            <a:ext uri="{FF2B5EF4-FFF2-40B4-BE49-F238E27FC236}">
              <a16:creationId xmlns:a16="http://schemas.microsoft.com/office/drawing/2014/main" id="{226FD7B6-C50D-4934-845B-951D25859EB3}"/>
            </a:ext>
          </a:extLst>
        </xdr:cNvPr>
        <xdr:cNvSpPr/>
      </xdr:nvSpPr>
      <xdr:spPr>
        <a:xfrm>
          <a:off x="9420073" y="3682659"/>
          <a:ext cx="224118" cy="194576"/>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US" sz="1600"/>
            <a:t>1</a:t>
          </a:r>
          <a:endParaRPr lang="ar-EG" sz="1600"/>
        </a:p>
      </xdr:txBody>
    </xdr:sp>
    <xdr:clientData/>
  </xdr:twoCellAnchor>
  <xdr:twoCellAnchor>
    <xdr:from>
      <xdr:col>13</xdr:col>
      <xdr:colOff>414618</xdr:colOff>
      <xdr:row>23</xdr:row>
      <xdr:rowOff>68252</xdr:rowOff>
    </xdr:from>
    <xdr:to>
      <xdr:col>13</xdr:col>
      <xdr:colOff>638736</xdr:colOff>
      <xdr:row>24</xdr:row>
      <xdr:rowOff>89647</xdr:rowOff>
    </xdr:to>
    <xdr:sp macro="" textlink="">
      <xdr:nvSpPr>
        <xdr:cNvPr id="75" name="Oval 74">
          <a:extLst>
            <a:ext uri="{FF2B5EF4-FFF2-40B4-BE49-F238E27FC236}">
              <a16:creationId xmlns:a16="http://schemas.microsoft.com/office/drawing/2014/main" id="{E2445C77-A4B6-44E3-A0EA-011E31CB9EF0}"/>
            </a:ext>
          </a:extLst>
        </xdr:cNvPr>
        <xdr:cNvSpPr/>
      </xdr:nvSpPr>
      <xdr:spPr>
        <a:xfrm>
          <a:off x="9300883" y="4192017"/>
          <a:ext cx="224118" cy="200689"/>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US" sz="1600"/>
            <a:t>2</a:t>
          </a:r>
          <a:endParaRPr lang="ar-EG" sz="1600"/>
        </a:p>
      </xdr:txBody>
    </xdr:sp>
    <xdr:clientData/>
  </xdr:twoCellAnchor>
  <xdr:twoCellAnchor>
    <xdr:from>
      <xdr:col>13</xdr:col>
      <xdr:colOff>437030</xdr:colOff>
      <xdr:row>27</xdr:row>
      <xdr:rowOff>101870</xdr:rowOff>
    </xdr:from>
    <xdr:to>
      <xdr:col>13</xdr:col>
      <xdr:colOff>661148</xdr:colOff>
      <xdr:row>28</xdr:row>
      <xdr:rowOff>123265</xdr:rowOff>
    </xdr:to>
    <xdr:sp macro="" textlink="">
      <xdr:nvSpPr>
        <xdr:cNvPr id="85" name="Oval 84">
          <a:extLst>
            <a:ext uri="{FF2B5EF4-FFF2-40B4-BE49-F238E27FC236}">
              <a16:creationId xmlns:a16="http://schemas.microsoft.com/office/drawing/2014/main" id="{04A74B04-5EF0-454B-9EC7-3C6A85BD6B4E}"/>
            </a:ext>
          </a:extLst>
        </xdr:cNvPr>
        <xdr:cNvSpPr/>
      </xdr:nvSpPr>
      <xdr:spPr>
        <a:xfrm>
          <a:off x="9323295" y="4942811"/>
          <a:ext cx="224118" cy="200689"/>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US" sz="1600"/>
            <a:t>4</a:t>
          </a:r>
          <a:endParaRPr lang="ar-EG" sz="1600"/>
        </a:p>
      </xdr:txBody>
    </xdr:sp>
    <xdr:clientData/>
  </xdr:twoCellAnchor>
  <xdr:twoCellAnchor>
    <xdr:from>
      <xdr:col>13</xdr:col>
      <xdr:colOff>425824</xdr:colOff>
      <xdr:row>25</xdr:row>
      <xdr:rowOff>90663</xdr:rowOff>
    </xdr:from>
    <xdr:to>
      <xdr:col>13</xdr:col>
      <xdr:colOff>649942</xdr:colOff>
      <xdr:row>26</xdr:row>
      <xdr:rowOff>112058</xdr:rowOff>
    </xdr:to>
    <xdr:sp macro="" textlink="">
      <xdr:nvSpPr>
        <xdr:cNvPr id="91" name="Oval 90">
          <a:extLst>
            <a:ext uri="{FF2B5EF4-FFF2-40B4-BE49-F238E27FC236}">
              <a16:creationId xmlns:a16="http://schemas.microsoft.com/office/drawing/2014/main" id="{5C31ABCA-EAFF-4DFF-AA33-577013324450}"/>
            </a:ext>
          </a:extLst>
        </xdr:cNvPr>
        <xdr:cNvSpPr/>
      </xdr:nvSpPr>
      <xdr:spPr>
        <a:xfrm>
          <a:off x="9312089" y="4573016"/>
          <a:ext cx="224118" cy="200689"/>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US" sz="1600"/>
            <a:t>3</a:t>
          </a:r>
          <a:endParaRPr lang="ar-EG" sz="1600"/>
        </a:p>
      </xdr:txBody>
    </xdr:sp>
    <xdr:clientData/>
  </xdr:twoCellAnchor>
  <xdr:twoCellAnchor>
    <xdr:from>
      <xdr:col>16</xdr:col>
      <xdr:colOff>347906</xdr:colOff>
      <xdr:row>20</xdr:row>
      <xdr:rowOff>155865</xdr:rowOff>
    </xdr:from>
    <xdr:to>
      <xdr:col>18</xdr:col>
      <xdr:colOff>209350</xdr:colOff>
      <xdr:row>22</xdr:row>
      <xdr:rowOff>121226</xdr:rowOff>
    </xdr:to>
    <xdr:sp macro="" textlink="Piviot!I11">
      <xdr:nvSpPr>
        <xdr:cNvPr id="92" name="TextBox 91">
          <a:extLst>
            <a:ext uri="{FF2B5EF4-FFF2-40B4-BE49-F238E27FC236}">
              <a16:creationId xmlns:a16="http://schemas.microsoft.com/office/drawing/2014/main" id="{0D42920B-7204-4D3A-851F-F2EFD3ECC82D}"/>
            </a:ext>
          </a:extLst>
        </xdr:cNvPr>
        <xdr:cNvSpPr txBox="1"/>
      </xdr:nvSpPr>
      <xdr:spPr>
        <a:xfrm>
          <a:off x="11431542" y="3619501"/>
          <a:ext cx="1246899" cy="3117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marL="0" indent="0" algn="l"/>
          <a:fld id="{9C02F83B-0822-4DAE-9EC2-AA1658EC4FD2}" type="TxLink">
            <a:rPr lang="en-US" sz="1600" b="1" i="0" u="none" strike="noStrike">
              <a:solidFill>
                <a:srgbClr val="000000"/>
              </a:solidFill>
              <a:latin typeface="Arial"/>
              <a:ea typeface="+mn-ea"/>
              <a:cs typeface="Arial"/>
            </a:rPr>
            <a:pPr marL="0" indent="0" algn="l"/>
            <a:t> $48,099 </a:t>
          </a:fld>
          <a:endParaRPr lang="en-US" sz="3600" b="1" i="0" u="none" strike="noStrike">
            <a:solidFill>
              <a:srgbClr val="000000"/>
            </a:solidFill>
            <a:latin typeface="Arial"/>
            <a:ea typeface="+mn-ea"/>
            <a:cs typeface="Arial"/>
          </a:endParaRPr>
        </a:p>
      </xdr:txBody>
    </xdr:sp>
    <xdr:clientData/>
  </xdr:twoCellAnchor>
  <xdr:twoCellAnchor>
    <xdr:from>
      <xdr:col>16</xdr:col>
      <xdr:colOff>347906</xdr:colOff>
      <xdr:row>25</xdr:row>
      <xdr:rowOff>5774</xdr:rowOff>
    </xdr:from>
    <xdr:to>
      <xdr:col>18</xdr:col>
      <xdr:colOff>209350</xdr:colOff>
      <xdr:row>26</xdr:row>
      <xdr:rowOff>150430</xdr:rowOff>
    </xdr:to>
    <xdr:sp macro="" textlink="Piviot!I13">
      <xdr:nvSpPr>
        <xdr:cNvPr id="93" name="TextBox 92">
          <a:extLst>
            <a:ext uri="{FF2B5EF4-FFF2-40B4-BE49-F238E27FC236}">
              <a16:creationId xmlns:a16="http://schemas.microsoft.com/office/drawing/2014/main" id="{B424F7F0-0CF7-4657-8CA8-66515D0EC657}"/>
            </a:ext>
          </a:extLst>
        </xdr:cNvPr>
        <xdr:cNvSpPr txBox="1"/>
      </xdr:nvSpPr>
      <xdr:spPr>
        <a:xfrm>
          <a:off x="11284847" y="4488127"/>
          <a:ext cx="1228562" cy="323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marL="0" indent="0" algn="l"/>
          <a:fld id="{E075CA1F-98C9-4A19-8498-FDF1C6EBF8BD}" type="TxLink">
            <a:rPr lang="en-US" sz="1600" b="1" i="0" u="none" strike="noStrike">
              <a:solidFill>
                <a:srgbClr val="000000"/>
              </a:solidFill>
              <a:latin typeface="Arial"/>
              <a:ea typeface="+mn-ea"/>
              <a:cs typeface="Arial"/>
            </a:rPr>
            <a:pPr marL="0" indent="0" algn="l"/>
            <a:t> $52,442 </a:t>
          </a:fld>
          <a:endParaRPr lang="en-US" sz="3600" b="1" i="0" u="none" strike="noStrike">
            <a:solidFill>
              <a:srgbClr val="000000"/>
            </a:solidFill>
            <a:latin typeface="Arial"/>
            <a:ea typeface="+mn-ea"/>
            <a:cs typeface="Arial"/>
          </a:endParaRPr>
        </a:p>
      </xdr:txBody>
    </xdr:sp>
    <xdr:clientData/>
  </xdr:twoCellAnchor>
  <xdr:twoCellAnchor>
    <xdr:from>
      <xdr:col>16</xdr:col>
      <xdr:colOff>347906</xdr:colOff>
      <xdr:row>22</xdr:row>
      <xdr:rowOff>167411</xdr:rowOff>
    </xdr:from>
    <xdr:to>
      <xdr:col>18</xdr:col>
      <xdr:colOff>209350</xdr:colOff>
      <xdr:row>24</xdr:row>
      <xdr:rowOff>132773</xdr:rowOff>
    </xdr:to>
    <xdr:sp macro="" textlink="Piviot!I12">
      <xdr:nvSpPr>
        <xdr:cNvPr id="95" name="TextBox 94">
          <a:extLst>
            <a:ext uri="{FF2B5EF4-FFF2-40B4-BE49-F238E27FC236}">
              <a16:creationId xmlns:a16="http://schemas.microsoft.com/office/drawing/2014/main" id="{585DF689-A865-496A-9A85-5C2465F8388D}"/>
            </a:ext>
          </a:extLst>
        </xdr:cNvPr>
        <xdr:cNvSpPr txBox="1"/>
      </xdr:nvSpPr>
      <xdr:spPr>
        <a:xfrm>
          <a:off x="11284847" y="4111882"/>
          <a:ext cx="1228562" cy="323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marL="0" indent="0" algn="l"/>
          <a:fld id="{1A24FA94-713A-47AA-A26C-696058F4AE50}" type="TxLink">
            <a:rPr lang="en-US" sz="1600" b="1" i="0" u="none" strike="noStrike">
              <a:solidFill>
                <a:srgbClr val="000000"/>
              </a:solidFill>
              <a:latin typeface="Arial"/>
              <a:ea typeface="+mn-ea"/>
              <a:cs typeface="Arial"/>
            </a:rPr>
            <a:pPr marL="0" indent="0" algn="l"/>
            <a:t> $43,680 </a:t>
          </a:fld>
          <a:endParaRPr lang="en-US" sz="3600" b="1" i="0" u="none" strike="noStrike">
            <a:solidFill>
              <a:srgbClr val="000000"/>
            </a:solidFill>
            <a:latin typeface="Arial"/>
            <a:ea typeface="+mn-ea"/>
            <a:cs typeface="Arial"/>
          </a:endParaRPr>
        </a:p>
      </xdr:txBody>
    </xdr:sp>
    <xdr:clientData/>
  </xdr:twoCellAnchor>
  <xdr:twoCellAnchor>
    <xdr:from>
      <xdr:col>16</xdr:col>
      <xdr:colOff>347906</xdr:colOff>
      <xdr:row>27</xdr:row>
      <xdr:rowOff>17320</xdr:rowOff>
    </xdr:from>
    <xdr:to>
      <xdr:col>18</xdr:col>
      <xdr:colOff>209350</xdr:colOff>
      <xdr:row>28</xdr:row>
      <xdr:rowOff>161976</xdr:rowOff>
    </xdr:to>
    <xdr:sp macro="" textlink="Piviot!I14">
      <xdr:nvSpPr>
        <xdr:cNvPr id="97" name="TextBox 96">
          <a:extLst>
            <a:ext uri="{FF2B5EF4-FFF2-40B4-BE49-F238E27FC236}">
              <a16:creationId xmlns:a16="http://schemas.microsoft.com/office/drawing/2014/main" id="{0DBFC356-1322-40C4-BA05-3ADF35C5F7C8}"/>
            </a:ext>
          </a:extLst>
        </xdr:cNvPr>
        <xdr:cNvSpPr txBox="1"/>
      </xdr:nvSpPr>
      <xdr:spPr>
        <a:xfrm>
          <a:off x="11284847" y="4858261"/>
          <a:ext cx="1228562" cy="323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marL="0" indent="0" algn="l"/>
          <a:fld id="{9394DB7A-5D31-4F1F-926C-7674F69CE20A}" type="TxLink">
            <a:rPr lang="en-US" sz="1600" b="1" i="0" u="none" strike="noStrike">
              <a:solidFill>
                <a:srgbClr val="000000"/>
              </a:solidFill>
              <a:latin typeface="Arial"/>
              <a:ea typeface="+mn-ea"/>
              <a:cs typeface="Arial"/>
            </a:rPr>
            <a:pPr marL="0" indent="0" algn="l"/>
            <a:t> $64,551 </a:t>
          </a:fld>
          <a:endParaRPr lang="en-US" sz="3600" b="1" i="0" u="none" strike="noStrike">
            <a:solidFill>
              <a:srgbClr val="000000"/>
            </a:solidFill>
            <a:latin typeface="Arial"/>
            <a:ea typeface="+mn-ea"/>
            <a:cs typeface="Arial"/>
          </a:endParaRPr>
        </a:p>
      </xdr:txBody>
    </xdr:sp>
    <xdr:clientData/>
  </xdr:twoCellAnchor>
  <xdr:twoCellAnchor>
    <xdr:from>
      <xdr:col>7</xdr:col>
      <xdr:colOff>398318</xdr:colOff>
      <xdr:row>30</xdr:row>
      <xdr:rowOff>69272</xdr:rowOff>
    </xdr:from>
    <xdr:to>
      <xdr:col>15</xdr:col>
      <xdr:colOff>381000</xdr:colOff>
      <xdr:row>43</xdr:row>
      <xdr:rowOff>103909</xdr:rowOff>
    </xdr:to>
    <xdr:sp macro="" textlink="">
      <xdr:nvSpPr>
        <xdr:cNvPr id="109" name="Rectangle: Rounded Corners 108">
          <a:extLst>
            <a:ext uri="{FF2B5EF4-FFF2-40B4-BE49-F238E27FC236}">
              <a16:creationId xmlns:a16="http://schemas.microsoft.com/office/drawing/2014/main" id="{FDFA9875-2534-4D33-8035-DF790BD47788}"/>
            </a:ext>
          </a:extLst>
        </xdr:cNvPr>
        <xdr:cNvSpPr/>
      </xdr:nvSpPr>
      <xdr:spPr>
        <a:xfrm>
          <a:off x="5247409" y="5264727"/>
          <a:ext cx="5524500" cy="2286000"/>
        </a:xfrm>
        <a:prstGeom prst="roundRect">
          <a:avLst/>
        </a:prstGeom>
        <a:solidFill>
          <a:srgbClr val="262626"/>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xdr:from>
      <xdr:col>7</xdr:col>
      <xdr:colOff>484909</xdr:colOff>
      <xdr:row>32</xdr:row>
      <xdr:rowOff>69273</xdr:rowOff>
    </xdr:from>
    <xdr:to>
      <xdr:col>15</xdr:col>
      <xdr:colOff>242455</xdr:colOff>
      <xdr:row>43</xdr:row>
      <xdr:rowOff>86591</xdr:rowOff>
    </xdr:to>
    <xdr:graphicFrame macro="">
      <xdr:nvGraphicFramePr>
        <xdr:cNvPr id="98" name="Chart 97">
          <a:extLst>
            <a:ext uri="{FF2B5EF4-FFF2-40B4-BE49-F238E27FC236}">
              <a16:creationId xmlns:a16="http://schemas.microsoft.com/office/drawing/2014/main" id="{442A88D1-24EF-4613-ACBA-8D2A0BCD9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51965</xdr:colOff>
      <xdr:row>30</xdr:row>
      <xdr:rowOff>103912</xdr:rowOff>
    </xdr:from>
    <xdr:to>
      <xdr:col>11</xdr:col>
      <xdr:colOff>51954</xdr:colOff>
      <xdr:row>32</xdr:row>
      <xdr:rowOff>121228</xdr:rowOff>
    </xdr:to>
    <xdr:sp macro="" textlink="Piviot!B15">
      <xdr:nvSpPr>
        <xdr:cNvPr id="111" name="TextBox 110">
          <a:extLst>
            <a:ext uri="{FF2B5EF4-FFF2-40B4-BE49-F238E27FC236}">
              <a16:creationId xmlns:a16="http://schemas.microsoft.com/office/drawing/2014/main" id="{E8632320-4A32-4938-9F28-5FA1C9B6094A}"/>
            </a:ext>
          </a:extLst>
        </xdr:cNvPr>
        <xdr:cNvSpPr txBox="1"/>
      </xdr:nvSpPr>
      <xdr:spPr>
        <a:xfrm>
          <a:off x="5593783" y="5299367"/>
          <a:ext cx="2078171" cy="3636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marL="0" indent="0" algn="l"/>
          <a:r>
            <a:rPr lang="en-US" sz="1600" b="1" i="0" u="none" strike="noStrike">
              <a:solidFill>
                <a:schemeClr val="tx1"/>
              </a:solidFill>
              <a:latin typeface="Kulim Park"/>
              <a:ea typeface="+mn-ea"/>
              <a:cs typeface="Arial"/>
            </a:rPr>
            <a:t>Total Sales By Month</a:t>
          </a:r>
          <a:endParaRPr lang="ar-EG" sz="1600" b="1" i="0" u="none" strike="noStrike">
            <a:solidFill>
              <a:schemeClr val="tx1"/>
            </a:solidFill>
            <a:latin typeface="Kulim Park"/>
            <a:ea typeface="+mn-ea"/>
            <a:cs typeface="Arial"/>
          </a:endParaRPr>
        </a:p>
      </xdr:txBody>
    </xdr:sp>
    <xdr:clientData/>
  </xdr:twoCellAnchor>
  <xdr:twoCellAnchor>
    <xdr:from>
      <xdr:col>15</xdr:col>
      <xdr:colOff>502227</xdr:colOff>
      <xdr:row>30</xdr:row>
      <xdr:rowOff>69270</xdr:rowOff>
    </xdr:from>
    <xdr:to>
      <xdr:col>18</xdr:col>
      <xdr:colOff>294419</xdr:colOff>
      <xdr:row>43</xdr:row>
      <xdr:rowOff>103907</xdr:rowOff>
    </xdr:to>
    <xdr:sp macro="" textlink="">
      <xdr:nvSpPr>
        <xdr:cNvPr id="113" name="Rectangle: Rounded Corners 112">
          <a:extLst>
            <a:ext uri="{FF2B5EF4-FFF2-40B4-BE49-F238E27FC236}">
              <a16:creationId xmlns:a16="http://schemas.microsoft.com/office/drawing/2014/main" id="{E96FF2D7-12E5-4E20-9EF5-6EC6ECD04889}"/>
            </a:ext>
          </a:extLst>
        </xdr:cNvPr>
        <xdr:cNvSpPr/>
      </xdr:nvSpPr>
      <xdr:spPr>
        <a:xfrm>
          <a:off x="10893136" y="5264725"/>
          <a:ext cx="1870374" cy="2286000"/>
        </a:xfrm>
        <a:prstGeom prst="roundRect">
          <a:avLst/>
        </a:prstGeom>
        <a:solidFill>
          <a:srgbClr val="262626"/>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xdr:from>
      <xdr:col>15</xdr:col>
      <xdr:colOff>606150</xdr:colOff>
      <xdr:row>30</xdr:row>
      <xdr:rowOff>138550</xdr:rowOff>
    </xdr:from>
    <xdr:to>
      <xdr:col>17</xdr:col>
      <xdr:colOff>207819</xdr:colOff>
      <xdr:row>34</xdr:row>
      <xdr:rowOff>86591</xdr:rowOff>
    </xdr:to>
    <xdr:sp macro="" textlink="Piviot!B15">
      <xdr:nvSpPr>
        <xdr:cNvPr id="114" name="TextBox 113">
          <a:extLst>
            <a:ext uri="{FF2B5EF4-FFF2-40B4-BE49-F238E27FC236}">
              <a16:creationId xmlns:a16="http://schemas.microsoft.com/office/drawing/2014/main" id="{8CF56A49-FCA7-4DB6-AED6-6D525DA53BF6}"/>
            </a:ext>
          </a:extLst>
        </xdr:cNvPr>
        <xdr:cNvSpPr txBox="1"/>
      </xdr:nvSpPr>
      <xdr:spPr>
        <a:xfrm>
          <a:off x="10997059" y="5334005"/>
          <a:ext cx="987124" cy="640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marL="0" indent="0" algn="l"/>
          <a:r>
            <a:rPr lang="en-US" sz="1600" b="1" i="0" u="none" strike="noStrike">
              <a:solidFill>
                <a:schemeClr val="tx1"/>
              </a:solidFill>
              <a:latin typeface="Kulim Park"/>
              <a:ea typeface="+mn-ea"/>
              <a:cs typeface="Arial"/>
            </a:rPr>
            <a:t>Top 4 Sellers</a:t>
          </a:r>
          <a:endParaRPr lang="ar-EG" sz="1600" b="1" i="0" u="none" strike="noStrike">
            <a:solidFill>
              <a:schemeClr val="tx1"/>
            </a:solidFill>
            <a:latin typeface="Kulim Park"/>
            <a:ea typeface="+mn-ea"/>
            <a:cs typeface="Arial"/>
          </a:endParaRPr>
        </a:p>
      </xdr:txBody>
    </xdr:sp>
    <xdr:clientData/>
  </xdr:twoCellAnchor>
  <xdr:twoCellAnchor>
    <xdr:from>
      <xdr:col>16</xdr:col>
      <xdr:colOff>69283</xdr:colOff>
      <xdr:row>34</xdr:row>
      <xdr:rowOff>34636</xdr:rowOff>
    </xdr:from>
    <xdr:to>
      <xdr:col>17</xdr:col>
      <xdr:colOff>173181</xdr:colOff>
      <xdr:row>35</xdr:row>
      <xdr:rowOff>103907</xdr:rowOff>
    </xdr:to>
    <xdr:sp macro="" textlink="Piviot!O11">
      <xdr:nvSpPr>
        <xdr:cNvPr id="115" name="TextBox 114">
          <a:extLst>
            <a:ext uri="{FF2B5EF4-FFF2-40B4-BE49-F238E27FC236}">
              <a16:creationId xmlns:a16="http://schemas.microsoft.com/office/drawing/2014/main" id="{D3AF92C6-A8CE-4CB9-A500-1541560E54B1}"/>
            </a:ext>
          </a:extLst>
        </xdr:cNvPr>
        <xdr:cNvSpPr txBox="1"/>
      </xdr:nvSpPr>
      <xdr:spPr>
        <a:xfrm>
          <a:off x="11152919" y="5922818"/>
          <a:ext cx="796626" cy="242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marL="0" indent="0" algn="l"/>
          <a:fld id="{CBFEC476-1FB4-4E27-97EE-46C8A5BB6AFA}" type="TxLink">
            <a:rPr lang="en-US" sz="1600" b="1" i="0" u="none" strike="noStrike">
              <a:solidFill>
                <a:srgbClr val="000000"/>
              </a:solidFill>
              <a:latin typeface="Kulim Park"/>
              <a:ea typeface="+mn-ea"/>
              <a:cs typeface="Arial"/>
            </a:rPr>
            <a:pPr marL="0" indent="0" algn="l"/>
            <a:t>Alice</a:t>
          </a:fld>
          <a:endParaRPr lang="en-US" sz="1600" b="1" i="0" u="none" strike="noStrike">
            <a:solidFill>
              <a:srgbClr val="000000"/>
            </a:solidFill>
            <a:latin typeface="Kulim Park"/>
            <a:ea typeface="+mn-ea"/>
            <a:cs typeface="Arial"/>
          </a:endParaRPr>
        </a:p>
      </xdr:txBody>
    </xdr:sp>
    <xdr:clientData/>
  </xdr:twoCellAnchor>
  <xdr:twoCellAnchor>
    <xdr:from>
      <xdr:col>15</xdr:col>
      <xdr:colOff>570482</xdr:colOff>
      <xdr:row>34</xdr:row>
      <xdr:rowOff>115113</xdr:rowOff>
    </xdr:from>
    <xdr:to>
      <xdr:col>16</xdr:col>
      <xdr:colOff>101873</xdr:colOff>
      <xdr:row>35</xdr:row>
      <xdr:rowOff>136507</xdr:rowOff>
    </xdr:to>
    <xdr:sp macro="" textlink="">
      <xdr:nvSpPr>
        <xdr:cNvPr id="116" name="Oval 115">
          <a:extLst>
            <a:ext uri="{FF2B5EF4-FFF2-40B4-BE49-F238E27FC236}">
              <a16:creationId xmlns:a16="http://schemas.microsoft.com/office/drawing/2014/main" id="{1B360043-608A-4236-9B8C-4436AC7957D0}"/>
            </a:ext>
          </a:extLst>
        </xdr:cNvPr>
        <xdr:cNvSpPr/>
      </xdr:nvSpPr>
      <xdr:spPr>
        <a:xfrm>
          <a:off x="10961391" y="6003295"/>
          <a:ext cx="224118" cy="194576"/>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US" sz="1600"/>
            <a:t>1</a:t>
          </a:r>
          <a:endParaRPr lang="ar-EG" sz="1600"/>
        </a:p>
      </xdr:txBody>
    </xdr:sp>
    <xdr:clientData/>
  </xdr:twoCellAnchor>
  <xdr:twoCellAnchor>
    <xdr:from>
      <xdr:col>17</xdr:col>
      <xdr:colOff>141104</xdr:colOff>
      <xdr:row>34</xdr:row>
      <xdr:rowOff>34636</xdr:rowOff>
    </xdr:from>
    <xdr:to>
      <xdr:col>18</xdr:col>
      <xdr:colOff>416654</xdr:colOff>
      <xdr:row>35</xdr:row>
      <xdr:rowOff>155864</xdr:rowOff>
    </xdr:to>
    <xdr:sp macro="" textlink="Piviot!P11">
      <xdr:nvSpPr>
        <xdr:cNvPr id="117" name="TextBox 116">
          <a:extLst>
            <a:ext uri="{FF2B5EF4-FFF2-40B4-BE49-F238E27FC236}">
              <a16:creationId xmlns:a16="http://schemas.microsoft.com/office/drawing/2014/main" id="{EC0B22A8-211A-4BF9-8DBC-0848EC9DC3F3}"/>
            </a:ext>
          </a:extLst>
        </xdr:cNvPr>
        <xdr:cNvSpPr txBox="1"/>
      </xdr:nvSpPr>
      <xdr:spPr>
        <a:xfrm>
          <a:off x="11917468" y="5922818"/>
          <a:ext cx="968277" cy="294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marL="0" indent="0" algn="l"/>
          <a:fld id="{F8D0A8F8-DFDF-413F-8DA4-A9BD95CBED2E}" type="TxLink">
            <a:rPr lang="en-US" sz="1600" b="1" i="0" u="none" strike="noStrike">
              <a:solidFill>
                <a:srgbClr val="000000"/>
              </a:solidFill>
              <a:latin typeface="Kulim Park"/>
              <a:ea typeface="+mn-ea"/>
              <a:cs typeface="Arial"/>
            </a:rPr>
            <a:pPr marL="0" indent="0" algn="l"/>
            <a:t> $45,223 </a:t>
          </a:fld>
          <a:endParaRPr lang="en-US" sz="1600" b="1" i="0" u="none" strike="noStrike">
            <a:solidFill>
              <a:srgbClr val="000000"/>
            </a:solidFill>
            <a:latin typeface="Kulim Park"/>
            <a:ea typeface="+mn-ea"/>
            <a:cs typeface="Arial"/>
          </a:endParaRPr>
        </a:p>
      </xdr:txBody>
    </xdr:sp>
    <xdr:clientData/>
  </xdr:twoCellAnchor>
  <xdr:twoCellAnchor>
    <xdr:from>
      <xdr:col>16</xdr:col>
      <xdr:colOff>69283</xdr:colOff>
      <xdr:row>36</xdr:row>
      <xdr:rowOff>69271</xdr:rowOff>
    </xdr:from>
    <xdr:to>
      <xdr:col>17</xdr:col>
      <xdr:colOff>173181</xdr:colOff>
      <xdr:row>37</xdr:row>
      <xdr:rowOff>138542</xdr:rowOff>
    </xdr:to>
    <xdr:sp macro="" textlink="Piviot!O12">
      <xdr:nvSpPr>
        <xdr:cNvPr id="121" name="TextBox 120">
          <a:extLst>
            <a:ext uri="{FF2B5EF4-FFF2-40B4-BE49-F238E27FC236}">
              <a16:creationId xmlns:a16="http://schemas.microsoft.com/office/drawing/2014/main" id="{0691918C-A313-454B-81DE-44549F80E153}"/>
            </a:ext>
          </a:extLst>
        </xdr:cNvPr>
        <xdr:cNvSpPr txBox="1"/>
      </xdr:nvSpPr>
      <xdr:spPr>
        <a:xfrm>
          <a:off x="11152919" y="6303816"/>
          <a:ext cx="796626" cy="242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marL="0" indent="0" algn="l"/>
          <a:fld id="{F4BE35EF-0D0D-48D6-9A53-CDA4CA801ACC}" type="TxLink">
            <a:rPr lang="en-US" sz="1600" b="1" i="0" u="none" strike="noStrike">
              <a:solidFill>
                <a:srgbClr val="000000"/>
              </a:solidFill>
              <a:latin typeface="Kulim Park"/>
              <a:ea typeface="+mn-ea"/>
              <a:cs typeface="Arial"/>
            </a:rPr>
            <a:pPr marL="0" indent="0" algn="l"/>
            <a:t>Bob</a:t>
          </a:fld>
          <a:endParaRPr lang="en-US" sz="1600" b="1" i="0" u="none" strike="noStrike">
            <a:solidFill>
              <a:srgbClr val="000000"/>
            </a:solidFill>
            <a:latin typeface="Kulim Park"/>
            <a:ea typeface="+mn-ea"/>
            <a:cs typeface="Arial"/>
          </a:endParaRPr>
        </a:p>
      </xdr:txBody>
    </xdr:sp>
    <xdr:clientData/>
  </xdr:twoCellAnchor>
  <xdr:twoCellAnchor>
    <xdr:from>
      <xdr:col>15</xdr:col>
      <xdr:colOff>571500</xdr:colOff>
      <xdr:row>36</xdr:row>
      <xdr:rowOff>149748</xdr:rowOff>
    </xdr:from>
    <xdr:to>
      <xdr:col>16</xdr:col>
      <xdr:colOff>102891</xdr:colOff>
      <xdr:row>37</xdr:row>
      <xdr:rowOff>171142</xdr:rowOff>
    </xdr:to>
    <xdr:sp macro="" textlink="">
      <xdr:nvSpPr>
        <xdr:cNvPr id="122" name="Oval 121">
          <a:extLst>
            <a:ext uri="{FF2B5EF4-FFF2-40B4-BE49-F238E27FC236}">
              <a16:creationId xmlns:a16="http://schemas.microsoft.com/office/drawing/2014/main" id="{0558A894-AC8D-43FC-A2AE-4B8CF3402CE8}"/>
            </a:ext>
          </a:extLst>
        </xdr:cNvPr>
        <xdr:cNvSpPr/>
      </xdr:nvSpPr>
      <xdr:spPr>
        <a:xfrm>
          <a:off x="10962409" y="6384293"/>
          <a:ext cx="224118" cy="194576"/>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US" sz="1600"/>
            <a:t>2</a:t>
          </a:r>
          <a:endParaRPr lang="ar-EG" sz="1600"/>
        </a:p>
      </xdr:txBody>
    </xdr:sp>
    <xdr:clientData/>
  </xdr:twoCellAnchor>
  <xdr:twoCellAnchor>
    <xdr:from>
      <xdr:col>17</xdr:col>
      <xdr:colOff>141104</xdr:colOff>
      <xdr:row>36</xdr:row>
      <xdr:rowOff>69271</xdr:rowOff>
    </xdr:from>
    <xdr:to>
      <xdr:col>18</xdr:col>
      <xdr:colOff>416654</xdr:colOff>
      <xdr:row>38</xdr:row>
      <xdr:rowOff>17317</xdr:rowOff>
    </xdr:to>
    <xdr:sp macro="" textlink="Piviot!P12">
      <xdr:nvSpPr>
        <xdr:cNvPr id="123" name="TextBox 122">
          <a:extLst>
            <a:ext uri="{FF2B5EF4-FFF2-40B4-BE49-F238E27FC236}">
              <a16:creationId xmlns:a16="http://schemas.microsoft.com/office/drawing/2014/main" id="{EFDEBBE1-228E-48B3-8BFD-327827CC387C}"/>
            </a:ext>
          </a:extLst>
        </xdr:cNvPr>
        <xdr:cNvSpPr txBox="1"/>
      </xdr:nvSpPr>
      <xdr:spPr>
        <a:xfrm>
          <a:off x="11917468" y="6303816"/>
          <a:ext cx="968277" cy="294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marL="0" indent="0" algn="l"/>
          <a:fld id="{75807038-899B-497D-A3AE-76DC1EF3299E}" type="TxLink">
            <a:rPr lang="en-US" sz="1600" b="1" i="0" u="none" strike="noStrike">
              <a:solidFill>
                <a:srgbClr val="000000"/>
              </a:solidFill>
              <a:latin typeface="Kulim Park"/>
              <a:ea typeface="+mn-ea"/>
              <a:cs typeface="Arial"/>
            </a:rPr>
            <a:pPr marL="0" indent="0" algn="l"/>
            <a:t> $39,607 </a:t>
          </a:fld>
          <a:endParaRPr lang="en-US" sz="1600" b="1" i="0" u="none" strike="noStrike">
            <a:solidFill>
              <a:srgbClr val="000000"/>
            </a:solidFill>
            <a:latin typeface="Kulim Park"/>
            <a:ea typeface="+mn-ea"/>
            <a:cs typeface="Arial"/>
          </a:endParaRPr>
        </a:p>
      </xdr:txBody>
    </xdr:sp>
    <xdr:clientData/>
  </xdr:twoCellAnchor>
  <xdr:twoCellAnchor>
    <xdr:from>
      <xdr:col>16</xdr:col>
      <xdr:colOff>69283</xdr:colOff>
      <xdr:row>38</xdr:row>
      <xdr:rowOff>103907</xdr:rowOff>
    </xdr:from>
    <xdr:to>
      <xdr:col>17</xdr:col>
      <xdr:colOff>173181</xdr:colOff>
      <xdr:row>40</xdr:row>
      <xdr:rowOff>86591</xdr:rowOff>
    </xdr:to>
    <xdr:sp macro="" textlink="Piviot!O13">
      <xdr:nvSpPr>
        <xdr:cNvPr id="124" name="TextBox 123">
          <a:extLst>
            <a:ext uri="{FF2B5EF4-FFF2-40B4-BE49-F238E27FC236}">
              <a16:creationId xmlns:a16="http://schemas.microsoft.com/office/drawing/2014/main" id="{459E3C49-A4E0-481E-AA9E-90F04E6D9AC8}"/>
            </a:ext>
          </a:extLst>
        </xdr:cNvPr>
        <xdr:cNvSpPr txBox="1"/>
      </xdr:nvSpPr>
      <xdr:spPr>
        <a:xfrm>
          <a:off x="11152919" y="6684816"/>
          <a:ext cx="796626" cy="3290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marL="0" indent="0" algn="l"/>
          <a:fld id="{B0635F7D-565E-4088-8213-C7F6DB2BE2D8}" type="TxLink">
            <a:rPr lang="en-US" sz="1600" b="1" i="0" u="none" strike="noStrike">
              <a:solidFill>
                <a:srgbClr val="000000"/>
              </a:solidFill>
              <a:latin typeface="Kulim Park"/>
              <a:ea typeface="+mn-ea"/>
              <a:cs typeface="Arial"/>
            </a:rPr>
            <a:pPr marL="0" indent="0" algn="l"/>
            <a:t>Charlie</a:t>
          </a:fld>
          <a:endParaRPr lang="en-US" sz="1600" b="1" i="0" u="none" strike="noStrike">
            <a:solidFill>
              <a:srgbClr val="000000"/>
            </a:solidFill>
            <a:latin typeface="Kulim Park"/>
            <a:ea typeface="+mn-ea"/>
            <a:cs typeface="Arial"/>
          </a:endParaRPr>
        </a:p>
      </xdr:txBody>
    </xdr:sp>
    <xdr:clientData/>
  </xdr:twoCellAnchor>
  <xdr:twoCellAnchor>
    <xdr:from>
      <xdr:col>15</xdr:col>
      <xdr:colOff>588818</xdr:colOff>
      <xdr:row>39</xdr:row>
      <xdr:rowOff>11202</xdr:rowOff>
    </xdr:from>
    <xdr:to>
      <xdr:col>16</xdr:col>
      <xdr:colOff>120209</xdr:colOff>
      <xdr:row>40</xdr:row>
      <xdr:rowOff>32596</xdr:rowOff>
    </xdr:to>
    <xdr:sp macro="" textlink="">
      <xdr:nvSpPr>
        <xdr:cNvPr id="125" name="Oval 124">
          <a:extLst>
            <a:ext uri="{FF2B5EF4-FFF2-40B4-BE49-F238E27FC236}">
              <a16:creationId xmlns:a16="http://schemas.microsoft.com/office/drawing/2014/main" id="{5F68F096-BF35-46DF-8906-A84EF3DE5A12}"/>
            </a:ext>
          </a:extLst>
        </xdr:cNvPr>
        <xdr:cNvSpPr/>
      </xdr:nvSpPr>
      <xdr:spPr>
        <a:xfrm>
          <a:off x="10979727" y="6765293"/>
          <a:ext cx="224118" cy="194576"/>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US" sz="1600"/>
            <a:t>3</a:t>
          </a:r>
          <a:endParaRPr lang="ar-EG" sz="1600"/>
        </a:p>
      </xdr:txBody>
    </xdr:sp>
    <xdr:clientData/>
  </xdr:twoCellAnchor>
  <xdr:twoCellAnchor>
    <xdr:from>
      <xdr:col>17</xdr:col>
      <xdr:colOff>141104</xdr:colOff>
      <xdr:row>38</xdr:row>
      <xdr:rowOff>103907</xdr:rowOff>
    </xdr:from>
    <xdr:to>
      <xdr:col>18</xdr:col>
      <xdr:colOff>416654</xdr:colOff>
      <xdr:row>40</xdr:row>
      <xdr:rowOff>51953</xdr:rowOff>
    </xdr:to>
    <xdr:sp macro="" textlink="Piviot!P13">
      <xdr:nvSpPr>
        <xdr:cNvPr id="126" name="TextBox 125">
          <a:extLst>
            <a:ext uri="{FF2B5EF4-FFF2-40B4-BE49-F238E27FC236}">
              <a16:creationId xmlns:a16="http://schemas.microsoft.com/office/drawing/2014/main" id="{1CC6AFB5-731A-4A1C-92E5-3B8835CFBD0C}"/>
            </a:ext>
          </a:extLst>
        </xdr:cNvPr>
        <xdr:cNvSpPr txBox="1"/>
      </xdr:nvSpPr>
      <xdr:spPr>
        <a:xfrm>
          <a:off x="11917468" y="6684816"/>
          <a:ext cx="968277" cy="294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marL="0" indent="0" algn="l"/>
          <a:fld id="{5ED7E96B-A115-4E10-AC97-C549449EEC2B}" type="TxLink">
            <a:rPr lang="en-US" sz="1600" b="1" i="0" u="none" strike="noStrike">
              <a:solidFill>
                <a:srgbClr val="000000"/>
              </a:solidFill>
              <a:latin typeface="Kulim Park"/>
              <a:ea typeface="+mn-ea"/>
              <a:cs typeface="Arial"/>
            </a:rPr>
            <a:pPr marL="0" indent="0" algn="l"/>
            <a:t> $35,077 </a:t>
          </a:fld>
          <a:endParaRPr lang="en-US" sz="1600" b="1" i="0" u="none" strike="noStrike">
            <a:solidFill>
              <a:srgbClr val="000000"/>
            </a:solidFill>
            <a:latin typeface="Kulim Park"/>
            <a:ea typeface="+mn-ea"/>
            <a:cs typeface="Arial"/>
          </a:endParaRPr>
        </a:p>
      </xdr:txBody>
    </xdr:sp>
    <xdr:clientData/>
  </xdr:twoCellAnchor>
  <xdr:twoCellAnchor>
    <xdr:from>
      <xdr:col>16</xdr:col>
      <xdr:colOff>69283</xdr:colOff>
      <xdr:row>40</xdr:row>
      <xdr:rowOff>138543</xdr:rowOff>
    </xdr:from>
    <xdr:to>
      <xdr:col>17</xdr:col>
      <xdr:colOff>173181</xdr:colOff>
      <xdr:row>42</xdr:row>
      <xdr:rowOff>34633</xdr:rowOff>
    </xdr:to>
    <xdr:sp macro="" textlink="Piviot!O14">
      <xdr:nvSpPr>
        <xdr:cNvPr id="127" name="TextBox 126">
          <a:extLst>
            <a:ext uri="{FF2B5EF4-FFF2-40B4-BE49-F238E27FC236}">
              <a16:creationId xmlns:a16="http://schemas.microsoft.com/office/drawing/2014/main" id="{7CF58C10-5ABD-4BBA-BE4D-0DBDCB0EE6B9}"/>
            </a:ext>
          </a:extLst>
        </xdr:cNvPr>
        <xdr:cNvSpPr txBox="1"/>
      </xdr:nvSpPr>
      <xdr:spPr>
        <a:xfrm>
          <a:off x="11152919" y="7065816"/>
          <a:ext cx="796626" cy="242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marL="0" indent="0" algn="l"/>
          <a:fld id="{7BFBCB5B-D131-4C92-93F0-4CD4716029E9}" type="TxLink">
            <a:rPr lang="en-US" sz="1600" b="1" i="0" u="none" strike="noStrike">
              <a:solidFill>
                <a:srgbClr val="000000"/>
              </a:solidFill>
              <a:latin typeface="Kulim Park"/>
              <a:ea typeface="+mn-ea"/>
              <a:cs typeface="Arial"/>
            </a:rPr>
            <a:pPr marL="0" indent="0" algn="l"/>
            <a:t>Diana</a:t>
          </a:fld>
          <a:endParaRPr lang="en-US" sz="1600" b="1" i="0" u="none" strike="noStrike">
            <a:solidFill>
              <a:srgbClr val="000000"/>
            </a:solidFill>
            <a:latin typeface="Kulim Park"/>
            <a:ea typeface="+mn-ea"/>
            <a:cs typeface="Arial"/>
          </a:endParaRPr>
        </a:p>
      </xdr:txBody>
    </xdr:sp>
    <xdr:clientData/>
  </xdr:twoCellAnchor>
  <xdr:twoCellAnchor>
    <xdr:from>
      <xdr:col>15</xdr:col>
      <xdr:colOff>571500</xdr:colOff>
      <xdr:row>41</xdr:row>
      <xdr:rowOff>45838</xdr:rowOff>
    </xdr:from>
    <xdr:to>
      <xdr:col>16</xdr:col>
      <xdr:colOff>102891</xdr:colOff>
      <xdr:row>42</xdr:row>
      <xdr:rowOff>67233</xdr:rowOff>
    </xdr:to>
    <xdr:sp macro="" textlink="">
      <xdr:nvSpPr>
        <xdr:cNvPr id="128" name="Oval 127">
          <a:extLst>
            <a:ext uri="{FF2B5EF4-FFF2-40B4-BE49-F238E27FC236}">
              <a16:creationId xmlns:a16="http://schemas.microsoft.com/office/drawing/2014/main" id="{6C3A112D-A679-43F0-AFD8-7F94BA61FF52}"/>
            </a:ext>
          </a:extLst>
        </xdr:cNvPr>
        <xdr:cNvSpPr/>
      </xdr:nvSpPr>
      <xdr:spPr>
        <a:xfrm>
          <a:off x="10962409" y="7146293"/>
          <a:ext cx="224118" cy="194576"/>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ctr"/>
        <a:lstStyle/>
        <a:p>
          <a:pPr algn="ctr"/>
          <a:r>
            <a:rPr lang="en-US" sz="1600"/>
            <a:t>4</a:t>
          </a:r>
          <a:endParaRPr lang="ar-EG" sz="1600"/>
        </a:p>
      </xdr:txBody>
    </xdr:sp>
    <xdr:clientData/>
  </xdr:twoCellAnchor>
  <xdr:twoCellAnchor>
    <xdr:from>
      <xdr:col>17</xdr:col>
      <xdr:colOff>141104</xdr:colOff>
      <xdr:row>40</xdr:row>
      <xdr:rowOff>138543</xdr:rowOff>
    </xdr:from>
    <xdr:to>
      <xdr:col>18</xdr:col>
      <xdr:colOff>416654</xdr:colOff>
      <xdr:row>42</xdr:row>
      <xdr:rowOff>86590</xdr:rowOff>
    </xdr:to>
    <xdr:sp macro="" textlink="Piviot!P14">
      <xdr:nvSpPr>
        <xdr:cNvPr id="129" name="TextBox 128">
          <a:extLst>
            <a:ext uri="{FF2B5EF4-FFF2-40B4-BE49-F238E27FC236}">
              <a16:creationId xmlns:a16="http://schemas.microsoft.com/office/drawing/2014/main" id="{D4B793A9-BF8A-4BB7-A245-C37116C89CE1}"/>
            </a:ext>
          </a:extLst>
        </xdr:cNvPr>
        <xdr:cNvSpPr txBox="1"/>
      </xdr:nvSpPr>
      <xdr:spPr>
        <a:xfrm>
          <a:off x="11917468" y="7065816"/>
          <a:ext cx="968277" cy="2944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marL="0" indent="0" algn="l"/>
          <a:fld id="{AC351F13-8E10-4F79-966E-07425D7A9923}" type="TxLink">
            <a:rPr lang="en-US" sz="1600" b="1" i="0" u="none" strike="noStrike">
              <a:solidFill>
                <a:srgbClr val="000000"/>
              </a:solidFill>
              <a:latin typeface="Kulim Park"/>
              <a:ea typeface="+mn-ea"/>
              <a:cs typeface="Arial"/>
            </a:rPr>
            <a:pPr marL="0" indent="0" algn="l"/>
            <a:t> $33,153 </a:t>
          </a:fld>
          <a:endParaRPr lang="en-US" sz="1600" b="1" i="0" u="none" strike="noStrike">
            <a:solidFill>
              <a:srgbClr val="000000"/>
            </a:solidFill>
            <a:latin typeface="Kulim Park"/>
            <a:ea typeface="+mn-ea"/>
            <a:cs typeface="Arial"/>
          </a:endParaRPr>
        </a:p>
      </xdr:txBody>
    </xdr:sp>
    <xdr:clientData/>
  </xdr:twoCellAnchor>
  <xdr:twoCellAnchor>
    <xdr:from>
      <xdr:col>18</xdr:col>
      <xdr:colOff>381000</xdr:colOff>
      <xdr:row>3</xdr:row>
      <xdr:rowOff>1</xdr:rowOff>
    </xdr:from>
    <xdr:to>
      <xdr:col>18</xdr:col>
      <xdr:colOff>381000</xdr:colOff>
      <xdr:row>44</xdr:row>
      <xdr:rowOff>138545</xdr:rowOff>
    </xdr:to>
    <xdr:cxnSp macro="">
      <xdr:nvCxnSpPr>
        <xdr:cNvPr id="130" name="Straight Connector 129">
          <a:extLst>
            <a:ext uri="{FF2B5EF4-FFF2-40B4-BE49-F238E27FC236}">
              <a16:creationId xmlns:a16="http://schemas.microsoft.com/office/drawing/2014/main" id="{0D4ADC84-705C-4D90-BB02-E8DDCB6688FD}"/>
            </a:ext>
          </a:extLst>
        </xdr:cNvPr>
        <xdr:cNvCxnSpPr/>
      </xdr:nvCxnSpPr>
      <xdr:spPr>
        <a:xfrm>
          <a:off x="12850091" y="519546"/>
          <a:ext cx="0" cy="7238999"/>
        </a:xfrm>
        <a:prstGeom prst="line">
          <a:avLst/>
        </a:prstGeom>
        <a:ln>
          <a:solidFill>
            <a:srgbClr val="F2BC1B"/>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484910</xdr:colOff>
      <xdr:row>3</xdr:row>
      <xdr:rowOff>69273</xdr:rowOff>
    </xdr:from>
    <xdr:to>
      <xdr:col>23</xdr:col>
      <xdr:colOff>675410</xdr:colOff>
      <xdr:row>29</xdr:row>
      <xdr:rowOff>51954</xdr:rowOff>
    </xdr:to>
    <xdr:sp macro="" textlink="">
      <xdr:nvSpPr>
        <xdr:cNvPr id="133" name="Rectangle: Rounded Corners 132">
          <a:extLst>
            <a:ext uri="{FF2B5EF4-FFF2-40B4-BE49-F238E27FC236}">
              <a16:creationId xmlns:a16="http://schemas.microsoft.com/office/drawing/2014/main" id="{C0BB4B0E-716C-4BA0-A859-8F3B27280007}"/>
            </a:ext>
          </a:extLst>
        </xdr:cNvPr>
        <xdr:cNvSpPr/>
      </xdr:nvSpPr>
      <xdr:spPr>
        <a:xfrm>
          <a:off x="12954001" y="588818"/>
          <a:ext cx="3654136" cy="4485409"/>
        </a:xfrm>
        <a:prstGeom prst="roundRect">
          <a:avLst/>
        </a:prstGeom>
        <a:solidFill>
          <a:srgbClr val="262626"/>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xdr:from>
      <xdr:col>19</xdr:col>
      <xdr:colOff>121228</xdr:colOff>
      <xdr:row>24</xdr:row>
      <xdr:rowOff>155863</xdr:rowOff>
    </xdr:from>
    <xdr:to>
      <xdr:col>23</xdr:col>
      <xdr:colOff>381000</xdr:colOff>
      <xdr:row>24</xdr:row>
      <xdr:rowOff>155864</xdr:rowOff>
    </xdr:to>
    <xdr:cxnSp macro="">
      <xdr:nvCxnSpPr>
        <xdr:cNvPr id="134" name="Straight Connector 133">
          <a:extLst>
            <a:ext uri="{FF2B5EF4-FFF2-40B4-BE49-F238E27FC236}">
              <a16:creationId xmlns:a16="http://schemas.microsoft.com/office/drawing/2014/main" id="{B7621BE4-8006-4CA3-B1E0-F3A6C7431845}"/>
            </a:ext>
          </a:extLst>
        </xdr:cNvPr>
        <xdr:cNvCxnSpPr/>
      </xdr:nvCxnSpPr>
      <xdr:spPr>
        <a:xfrm>
          <a:off x="13283046" y="4312227"/>
          <a:ext cx="3030681" cy="1"/>
        </a:xfrm>
        <a:prstGeom prst="line">
          <a:avLst/>
        </a:prstGeom>
        <a:ln>
          <a:solidFill>
            <a:srgbClr val="F2BC1B"/>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277100</xdr:colOff>
      <xdr:row>3</xdr:row>
      <xdr:rowOff>155867</xdr:rowOff>
    </xdr:from>
    <xdr:to>
      <xdr:col>22</xdr:col>
      <xdr:colOff>432956</xdr:colOff>
      <xdr:row>5</xdr:row>
      <xdr:rowOff>121229</xdr:rowOff>
    </xdr:to>
    <xdr:sp macro="" textlink="Piviot!B15">
      <xdr:nvSpPr>
        <xdr:cNvPr id="135" name="TextBox 134">
          <a:extLst>
            <a:ext uri="{FF2B5EF4-FFF2-40B4-BE49-F238E27FC236}">
              <a16:creationId xmlns:a16="http://schemas.microsoft.com/office/drawing/2014/main" id="{2473AC90-1574-4E81-9359-5C57FC22DD17}"/>
            </a:ext>
          </a:extLst>
        </xdr:cNvPr>
        <xdr:cNvSpPr txBox="1"/>
      </xdr:nvSpPr>
      <xdr:spPr>
        <a:xfrm>
          <a:off x="14131645" y="675412"/>
          <a:ext cx="1541311" cy="3117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marL="0" indent="0" algn="l"/>
          <a:r>
            <a:rPr lang="en-US" sz="2000" b="1" i="0" u="none" strike="noStrike">
              <a:solidFill>
                <a:srgbClr val="000000"/>
              </a:solidFill>
              <a:latin typeface="Kulim Park"/>
              <a:ea typeface="+mn-ea"/>
              <a:cs typeface="Arial"/>
            </a:rPr>
            <a:t>Order Status</a:t>
          </a:r>
          <a:endParaRPr lang="ar-EG" sz="2000" b="1" i="0" u="none" strike="noStrike">
            <a:solidFill>
              <a:srgbClr val="000000"/>
            </a:solidFill>
            <a:latin typeface="Kulim Park"/>
            <a:ea typeface="+mn-ea"/>
            <a:cs typeface="Arial"/>
          </a:endParaRPr>
        </a:p>
      </xdr:txBody>
    </xdr:sp>
    <xdr:clientData/>
  </xdr:twoCellAnchor>
  <xdr:twoCellAnchor>
    <xdr:from>
      <xdr:col>20</xdr:col>
      <xdr:colOff>207827</xdr:colOff>
      <xdr:row>4</xdr:row>
      <xdr:rowOff>138542</xdr:rowOff>
    </xdr:from>
    <xdr:to>
      <xdr:col>20</xdr:col>
      <xdr:colOff>329056</xdr:colOff>
      <xdr:row>5</xdr:row>
      <xdr:rowOff>84232</xdr:rowOff>
    </xdr:to>
    <xdr:sp macro="" textlink="">
      <xdr:nvSpPr>
        <xdr:cNvPr id="136" name="Flowchart: Connector 135">
          <a:extLst>
            <a:ext uri="{FF2B5EF4-FFF2-40B4-BE49-F238E27FC236}">
              <a16:creationId xmlns:a16="http://schemas.microsoft.com/office/drawing/2014/main" id="{0E6A8A74-87B0-4C22-8A3A-7CEB62191799}"/>
            </a:ext>
          </a:extLst>
        </xdr:cNvPr>
        <xdr:cNvSpPr/>
      </xdr:nvSpPr>
      <xdr:spPr>
        <a:xfrm>
          <a:off x="14062372" y="831269"/>
          <a:ext cx="121229" cy="118872"/>
        </a:xfrm>
        <a:prstGeom prst="flowChartConnector">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solidFill>
              <a:srgbClr val="F2BC1B"/>
            </a:solidFill>
          </a:endParaRPr>
        </a:p>
      </xdr:txBody>
    </xdr:sp>
    <xdr:clientData/>
  </xdr:twoCellAnchor>
  <xdr:twoCellAnchor>
    <xdr:from>
      <xdr:col>18</xdr:col>
      <xdr:colOff>536864</xdr:colOff>
      <xdr:row>6</xdr:row>
      <xdr:rowOff>103910</xdr:rowOff>
    </xdr:from>
    <xdr:to>
      <xdr:col>24</xdr:col>
      <xdr:colOff>0</xdr:colOff>
      <xdr:row>25</xdr:row>
      <xdr:rowOff>51956</xdr:rowOff>
    </xdr:to>
    <xdr:graphicFrame macro="">
      <xdr:nvGraphicFramePr>
        <xdr:cNvPr id="106" name="Chart 105">
          <a:extLst>
            <a:ext uri="{FF2B5EF4-FFF2-40B4-BE49-F238E27FC236}">
              <a16:creationId xmlns:a16="http://schemas.microsoft.com/office/drawing/2014/main" id="{D042A2E1-C7C3-484C-B95B-348C974F5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658101</xdr:colOff>
      <xdr:row>25</xdr:row>
      <xdr:rowOff>34641</xdr:rowOff>
    </xdr:from>
    <xdr:to>
      <xdr:col>22</xdr:col>
      <xdr:colOff>606136</xdr:colOff>
      <xdr:row>29</xdr:row>
      <xdr:rowOff>1</xdr:rowOff>
    </xdr:to>
    <xdr:sp macro="" textlink="Piviot!B15">
      <xdr:nvSpPr>
        <xdr:cNvPr id="110" name="TextBox 109">
          <a:extLst>
            <a:ext uri="{FF2B5EF4-FFF2-40B4-BE49-F238E27FC236}">
              <a16:creationId xmlns:a16="http://schemas.microsoft.com/office/drawing/2014/main" id="{CB7FD759-4664-4101-B4FB-386B164F8925}"/>
            </a:ext>
          </a:extLst>
        </xdr:cNvPr>
        <xdr:cNvSpPr txBox="1"/>
      </xdr:nvSpPr>
      <xdr:spPr>
        <a:xfrm>
          <a:off x="13819919" y="4364186"/>
          <a:ext cx="2026217" cy="6580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noAutofit/>
        </a:bodyPr>
        <a:lstStyle/>
        <a:p>
          <a:pPr marL="0" indent="0" algn="ctr"/>
          <a:r>
            <a:rPr lang="en-US" sz="1600" b="1" i="0" u="none" strike="noStrike">
              <a:solidFill>
                <a:sysClr val="windowText" lastClr="000000"/>
              </a:solidFill>
              <a:latin typeface="Kulim Park"/>
              <a:ea typeface="+mn-ea"/>
              <a:cs typeface="Arial"/>
            </a:rPr>
            <a:t>Percentage Of</a:t>
          </a:r>
          <a:r>
            <a:rPr lang="en-US" sz="1600" b="1" i="0" u="none" strike="noStrike" baseline="0">
              <a:solidFill>
                <a:sysClr val="windowText" lastClr="000000"/>
              </a:solidFill>
              <a:latin typeface="Kulim Park"/>
              <a:ea typeface="+mn-ea"/>
              <a:cs typeface="Arial"/>
            </a:rPr>
            <a:t> Orders Based On The Status</a:t>
          </a:r>
          <a:endParaRPr lang="ar-EG" sz="1600" b="1" i="0" u="none" strike="noStrike">
            <a:solidFill>
              <a:sysClr val="windowText" lastClr="000000"/>
            </a:solidFill>
            <a:latin typeface="Kulim Park"/>
            <a:ea typeface="+mn-ea"/>
            <a:cs typeface="Arial"/>
          </a:endParaRPr>
        </a:p>
      </xdr:txBody>
    </xdr:sp>
    <xdr:clientData/>
  </xdr:twoCellAnchor>
  <xdr:twoCellAnchor>
    <xdr:from>
      <xdr:col>18</xdr:col>
      <xdr:colOff>484910</xdr:colOff>
      <xdr:row>30</xdr:row>
      <xdr:rowOff>69270</xdr:rowOff>
    </xdr:from>
    <xdr:to>
      <xdr:col>23</xdr:col>
      <xdr:colOff>675410</xdr:colOff>
      <xdr:row>43</xdr:row>
      <xdr:rowOff>121226</xdr:rowOff>
    </xdr:to>
    <xdr:sp macro="" textlink="">
      <xdr:nvSpPr>
        <xdr:cNvPr id="112" name="Rectangle: Rounded Corners 111">
          <a:extLst>
            <a:ext uri="{FF2B5EF4-FFF2-40B4-BE49-F238E27FC236}">
              <a16:creationId xmlns:a16="http://schemas.microsoft.com/office/drawing/2014/main" id="{CEE7A1A9-5919-4B88-8A05-738278B272DE}"/>
            </a:ext>
          </a:extLst>
        </xdr:cNvPr>
        <xdr:cNvSpPr/>
      </xdr:nvSpPr>
      <xdr:spPr>
        <a:xfrm>
          <a:off x="12954001" y="5264725"/>
          <a:ext cx="3654136" cy="2303319"/>
        </a:xfrm>
        <a:prstGeom prst="roundRect">
          <a:avLst/>
        </a:prstGeom>
        <a:solidFill>
          <a:srgbClr val="262626"/>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marL="0" indent="0" algn="l"/>
          <a:endParaRPr lang="ar-EG" sz="1100">
            <a:solidFill>
              <a:schemeClr val="lt1"/>
            </a:solidFill>
            <a:latin typeface="+mn-lt"/>
            <a:ea typeface="+mn-ea"/>
            <a:cs typeface="+mn-cs"/>
          </a:endParaRPr>
        </a:p>
      </xdr:txBody>
    </xdr:sp>
    <xdr:clientData/>
  </xdr:twoCellAnchor>
  <xdr:twoCellAnchor>
    <xdr:from>
      <xdr:col>19</xdr:col>
      <xdr:colOff>146336</xdr:colOff>
      <xdr:row>6</xdr:row>
      <xdr:rowOff>69273</xdr:rowOff>
    </xdr:from>
    <xdr:to>
      <xdr:col>23</xdr:col>
      <xdr:colOff>415633</xdr:colOff>
      <xdr:row>6</xdr:row>
      <xdr:rowOff>69274</xdr:rowOff>
    </xdr:to>
    <xdr:cxnSp macro="">
      <xdr:nvCxnSpPr>
        <xdr:cNvPr id="118" name="Straight Connector 117">
          <a:extLst>
            <a:ext uri="{FF2B5EF4-FFF2-40B4-BE49-F238E27FC236}">
              <a16:creationId xmlns:a16="http://schemas.microsoft.com/office/drawing/2014/main" id="{F552FB95-EA99-4369-8A93-C64416BC6D57}"/>
            </a:ext>
          </a:extLst>
        </xdr:cNvPr>
        <xdr:cNvCxnSpPr/>
      </xdr:nvCxnSpPr>
      <xdr:spPr>
        <a:xfrm>
          <a:off x="13121902" y="1147575"/>
          <a:ext cx="3000995" cy="1"/>
        </a:xfrm>
        <a:prstGeom prst="line">
          <a:avLst/>
        </a:prstGeom>
        <a:ln w="6350">
          <a:solidFill>
            <a:srgbClr val="F2BC1B"/>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259776</xdr:colOff>
      <xdr:row>30</xdr:row>
      <xdr:rowOff>103906</xdr:rowOff>
    </xdr:from>
    <xdr:to>
      <xdr:col>21</xdr:col>
      <xdr:colOff>234301</xdr:colOff>
      <xdr:row>32</xdr:row>
      <xdr:rowOff>96182</xdr:rowOff>
    </xdr:to>
    <xdr:sp macro="" textlink="Piviot!B15">
      <xdr:nvSpPr>
        <xdr:cNvPr id="119" name="TextBox 118">
          <a:extLst>
            <a:ext uri="{FF2B5EF4-FFF2-40B4-BE49-F238E27FC236}">
              <a16:creationId xmlns:a16="http://schemas.microsoft.com/office/drawing/2014/main" id="{76466897-4977-4F00-82D3-EA0AE844A004}"/>
            </a:ext>
          </a:extLst>
        </xdr:cNvPr>
        <xdr:cNvSpPr txBox="1"/>
      </xdr:nvSpPr>
      <xdr:spPr>
        <a:xfrm>
          <a:off x="13421594" y="5299361"/>
          <a:ext cx="1359980" cy="3386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marL="0" indent="0" algn="l"/>
          <a:r>
            <a:rPr lang="en-US" sz="1800" b="1" i="0" u="none" strike="noStrike">
              <a:solidFill>
                <a:srgbClr val="000000"/>
              </a:solidFill>
              <a:latin typeface="Kulim Park"/>
              <a:ea typeface="+mn-ea"/>
              <a:cs typeface="Arial"/>
            </a:rPr>
            <a:t>On Time</a:t>
          </a:r>
          <a:endParaRPr lang="ar-EG" sz="1800" b="1" i="0" u="none" strike="noStrike">
            <a:solidFill>
              <a:srgbClr val="000000"/>
            </a:solidFill>
            <a:latin typeface="Kulim Park"/>
            <a:ea typeface="+mn-ea"/>
            <a:cs typeface="Arial"/>
          </a:endParaRPr>
        </a:p>
      </xdr:txBody>
    </xdr:sp>
    <xdr:clientData/>
  </xdr:twoCellAnchor>
  <xdr:twoCellAnchor>
    <xdr:from>
      <xdr:col>19</xdr:col>
      <xdr:colOff>190502</xdr:colOff>
      <xdr:row>31</xdr:row>
      <xdr:rowOff>69265</xdr:rowOff>
    </xdr:from>
    <xdr:to>
      <xdr:col>19</xdr:col>
      <xdr:colOff>311731</xdr:colOff>
      <xdr:row>32</xdr:row>
      <xdr:rowOff>14955</xdr:rowOff>
    </xdr:to>
    <xdr:sp macro="" textlink="">
      <xdr:nvSpPr>
        <xdr:cNvPr id="120" name="Flowchart: Connector 119">
          <a:extLst>
            <a:ext uri="{FF2B5EF4-FFF2-40B4-BE49-F238E27FC236}">
              <a16:creationId xmlns:a16="http://schemas.microsoft.com/office/drawing/2014/main" id="{9C755851-FA86-4C63-9F8B-A6481C821D84}"/>
            </a:ext>
          </a:extLst>
        </xdr:cNvPr>
        <xdr:cNvSpPr/>
      </xdr:nvSpPr>
      <xdr:spPr>
        <a:xfrm>
          <a:off x="13352320" y="5437901"/>
          <a:ext cx="121229" cy="118872"/>
        </a:xfrm>
        <a:prstGeom prst="flowChartConnector">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19</xdr:col>
      <xdr:colOff>103913</xdr:colOff>
      <xdr:row>32</xdr:row>
      <xdr:rowOff>103907</xdr:rowOff>
    </xdr:from>
    <xdr:to>
      <xdr:col>21</xdr:col>
      <xdr:colOff>155864</xdr:colOff>
      <xdr:row>37</xdr:row>
      <xdr:rowOff>2</xdr:rowOff>
    </xdr:to>
    <xdr:sp macro="" textlink="Piviot!B15">
      <xdr:nvSpPr>
        <xdr:cNvPr id="131" name="TextBox 130">
          <a:extLst>
            <a:ext uri="{FF2B5EF4-FFF2-40B4-BE49-F238E27FC236}">
              <a16:creationId xmlns:a16="http://schemas.microsoft.com/office/drawing/2014/main" id="{36BA7330-A6DF-435F-B22A-9826AFF71B13}"/>
            </a:ext>
          </a:extLst>
        </xdr:cNvPr>
        <xdr:cNvSpPr txBox="1"/>
      </xdr:nvSpPr>
      <xdr:spPr>
        <a:xfrm>
          <a:off x="13265731" y="5645725"/>
          <a:ext cx="1437406" cy="7620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noAutofit/>
        </a:bodyPr>
        <a:lstStyle/>
        <a:p>
          <a:pPr marL="0" indent="0" algn="l"/>
          <a:r>
            <a:rPr lang="en-US" sz="2000" b="1" i="0" u="none" strike="noStrike">
              <a:solidFill>
                <a:sysClr val="windowText" lastClr="000000"/>
              </a:solidFill>
              <a:latin typeface="Kulim Park"/>
              <a:ea typeface="+mn-ea"/>
              <a:cs typeface="Arial"/>
            </a:rPr>
            <a:t>Quantity Of Units Sold</a:t>
          </a:r>
          <a:endParaRPr lang="ar-EG" sz="2000" b="1" i="0" u="none" strike="noStrike">
            <a:solidFill>
              <a:sysClr val="windowText" lastClr="000000"/>
            </a:solidFill>
            <a:latin typeface="Kulim Park"/>
            <a:ea typeface="+mn-ea"/>
            <a:cs typeface="Arial"/>
          </a:endParaRPr>
        </a:p>
      </xdr:txBody>
    </xdr:sp>
    <xdr:clientData/>
  </xdr:twoCellAnchor>
  <xdr:twoCellAnchor>
    <xdr:from>
      <xdr:col>19</xdr:col>
      <xdr:colOff>86600</xdr:colOff>
      <xdr:row>36</xdr:row>
      <xdr:rowOff>51962</xdr:rowOff>
    </xdr:from>
    <xdr:to>
      <xdr:col>22</xdr:col>
      <xdr:colOff>207818</xdr:colOff>
      <xdr:row>40</xdr:row>
      <xdr:rowOff>17322</xdr:rowOff>
    </xdr:to>
    <xdr:sp macro="" textlink="Piviot!B15">
      <xdr:nvSpPr>
        <xdr:cNvPr id="132" name="TextBox 131">
          <a:extLst>
            <a:ext uri="{FF2B5EF4-FFF2-40B4-BE49-F238E27FC236}">
              <a16:creationId xmlns:a16="http://schemas.microsoft.com/office/drawing/2014/main" id="{BB9D3CA7-7A00-4B88-9E82-13DC0E3ECB5B}"/>
            </a:ext>
          </a:extLst>
        </xdr:cNvPr>
        <xdr:cNvSpPr txBox="1"/>
      </xdr:nvSpPr>
      <xdr:spPr>
        <a:xfrm>
          <a:off x="13248418" y="6286507"/>
          <a:ext cx="2199400" cy="6580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noAutofit/>
        </a:bodyPr>
        <a:lstStyle/>
        <a:p>
          <a:pPr marL="0" indent="0" algn="l"/>
          <a:r>
            <a:rPr lang="en-US" sz="1400" b="0" i="0" u="none" strike="noStrike">
              <a:solidFill>
                <a:sysClr val="windowText" lastClr="000000"/>
              </a:solidFill>
              <a:latin typeface="Kulim Park"/>
              <a:ea typeface="+mn-ea"/>
              <a:cs typeface="Arial"/>
            </a:rPr>
            <a:t>Overall Ontime Quantity Sold Across</a:t>
          </a:r>
          <a:r>
            <a:rPr lang="en-US" sz="1400" b="0" i="0" u="none" strike="noStrike" baseline="0">
              <a:solidFill>
                <a:sysClr val="windowText" lastClr="000000"/>
              </a:solidFill>
              <a:latin typeface="Kulim Park"/>
              <a:ea typeface="+mn-ea"/>
              <a:cs typeface="Arial"/>
            </a:rPr>
            <a:t> All Regions</a:t>
          </a:r>
          <a:endParaRPr lang="ar-EG" sz="1400" b="0" i="0" u="none" strike="noStrike">
            <a:solidFill>
              <a:sysClr val="windowText" lastClr="000000"/>
            </a:solidFill>
            <a:latin typeface="Kulim Park"/>
            <a:ea typeface="+mn-ea"/>
            <a:cs typeface="Arial"/>
          </a:endParaRPr>
        </a:p>
      </xdr:txBody>
    </xdr:sp>
    <xdr:clientData/>
  </xdr:twoCellAnchor>
  <xdr:twoCellAnchor>
    <xdr:from>
      <xdr:col>21</xdr:col>
      <xdr:colOff>363689</xdr:colOff>
      <xdr:row>39</xdr:row>
      <xdr:rowOff>69271</xdr:rowOff>
    </xdr:from>
    <xdr:to>
      <xdr:col>23</xdr:col>
      <xdr:colOff>645936</xdr:colOff>
      <xdr:row>42</xdr:row>
      <xdr:rowOff>113919</xdr:rowOff>
    </xdr:to>
    <xdr:sp macro="" textlink="Piviot!T11">
      <xdr:nvSpPr>
        <xdr:cNvPr id="137" name="TextBox 136">
          <a:extLst>
            <a:ext uri="{FF2B5EF4-FFF2-40B4-BE49-F238E27FC236}">
              <a16:creationId xmlns:a16="http://schemas.microsoft.com/office/drawing/2014/main" id="{1C377660-561F-4B11-BE5F-B87ABF9884EA}"/>
            </a:ext>
          </a:extLst>
        </xdr:cNvPr>
        <xdr:cNvSpPr txBox="1"/>
      </xdr:nvSpPr>
      <xdr:spPr>
        <a:xfrm>
          <a:off x="14910962" y="6823362"/>
          <a:ext cx="1667701" cy="5641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ctr">
          <a:noAutofit/>
        </a:bodyPr>
        <a:lstStyle/>
        <a:p>
          <a:pPr marL="0" indent="0" algn="ctr"/>
          <a:fld id="{B8645EDD-7363-4E2D-8B0F-20845E73461F}" type="TxLink">
            <a:rPr lang="en-US" sz="4800" b="1" i="0" u="none" strike="noStrike">
              <a:solidFill>
                <a:sysClr val="windowText" lastClr="000000"/>
              </a:solidFill>
              <a:latin typeface="Kulim Park"/>
              <a:ea typeface="+mn-ea"/>
              <a:cs typeface="Arial"/>
            </a:rPr>
            <a:pPr marL="0" indent="0" algn="ctr"/>
            <a:t>800</a:t>
          </a:fld>
          <a:endParaRPr lang="ar-EG" sz="4800" b="1" i="0" u="none" strike="noStrike">
            <a:solidFill>
              <a:sysClr val="windowText" lastClr="000000"/>
            </a:solidFill>
            <a:latin typeface="Kulim Park"/>
            <a:ea typeface="+mn-ea"/>
            <a:cs typeface="Arial"/>
          </a:endParaRPr>
        </a:p>
      </xdr:txBody>
    </xdr:sp>
    <xdr:clientData/>
  </xdr:twoCellAnchor>
  <xdr:twoCellAnchor>
    <xdr:from>
      <xdr:col>21</xdr:col>
      <xdr:colOff>180969</xdr:colOff>
      <xdr:row>0</xdr:row>
      <xdr:rowOff>69274</xdr:rowOff>
    </xdr:from>
    <xdr:to>
      <xdr:col>23</xdr:col>
      <xdr:colOff>502222</xdr:colOff>
      <xdr:row>2</xdr:row>
      <xdr:rowOff>121228</xdr:rowOff>
    </xdr:to>
    <xdr:sp macro="" textlink="">
      <xdr:nvSpPr>
        <xdr:cNvPr id="22" name="Rectangle: Rounded Corners 21">
          <a:extLst>
            <a:ext uri="{FF2B5EF4-FFF2-40B4-BE49-F238E27FC236}">
              <a16:creationId xmlns:a16="http://schemas.microsoft.com/office/drawing/2014/main" id="{BBF3A169-640A-4C0A-95D9-FCFF8588A436}"/>
            </a:ext>
          </a:extLst>
        </xdr:cNvPr>
        <xdr:cNvSpPr/>
      </xdr:nvSpPr>
      <xdr:spPr>
        <a:xfrm>
          <a:off x="14728242" y="69274"/>
          <a:ext cx="1706707" cy="398318"/>
        </a:xfrm>
        <a:prstGeom prst="round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21</xdr:col>
      <xdr:colOff>94379</xdr:colOff>
      <xdr:row>1</xdr:row>
      <xdr:rowOff>-1</xdr:rowOff>
    </xdr:from>
    <xdr:to>
      <xdr:col>23</xdr:col>
      <xdr:colOff>592315</xdr:colOff>
      <xdr:row>2</xdr:row>
      <xdr:rowOff>86591</xdr:rowOff>
    </xdr:to>
    <xdr:grpSp>
      <xdr:nvGrpSpPr>
        <xdr:cNvPr id="25" name="Group 24">
          <a:hlinkClick xmlns:r="http://schemas.openxmlformats.org/officeDocument/2006/relationships" r:id="rId9"/>
          <a:extLst>
            <a:ext uri="{FF2B5EF4-FFF2-40B4-BE49-F238E27FC236}">
              <a16:creationId xmlns:a16="http://schemas.microsoft.com/office/drawing/2014/main" id="{C7A25A80-C0CD-4268-AC9C-7DA6BED9C346}"/>
            </a:ext>
          </a:extLst>
        </xdr:cNvPr>
        <xdr:cNvGrpSpPr/>
      </xdr:nvGrpSpPr>
      <xdr:grpSpPr>
        <a:xfrm>
          <a:off x="14435794" y="179716"/>
          <a:ext cx="1863785" cy="266309"/>
          <a:chOff x="14641652" y="173181"/>
          <a:chExt cx="1883390" cy="259774"/>
        </a:xfrm>
      </xdr:grpSpPr>
      <xdr:sp macro="" textlink="Piviot!B3">
        <xdr:nvSpPr>
          <xdr:cNvPr id="139" name="TextBox 138">
            <a:extLst>
              <a:ext uri="{FF2B5EF4-FFF2-40B4-BE49-F238E27FC236}">
                <a16:creationId xmlns:a16="http://schemas.microsoft.com/office/drawing/2014/main" id="{A418586F-5C3D-4349-9A37-EEB2DB6938CB}"/>
              </a:ext>
            </a:extLst>
          </xdr:cNvPr>
          <xdr:cNvSpPr txBox="1"/>
        </xdr:nvSpPr>
        <xdr:spPr>
          <a:xfrm>
            <a:off x="14641652" y="173182"/>
            <a:ext cx="1714507" cy="2597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ctr">
            <a:noAutofit/>
          </a:bodyPr>
          <a:lstStyle/>
          <a:p>
            <a:pPr marL="0" indent="0" algn="ctr"/>
            <a:r>
              <a:rPr lang="en-US" sz="1600" b="1" i="0" u="none" strike="noStrike">
                <a:solidFill>
                  <a:srgbClr val="F2DB94"/>
                </a:solidFill>
                <a:latin typeface="Lucida Bright" panose="02040602050505020304" pitchFamily="18" charset="0"/>
                <a:ea typeface="+mn-ea"/>
                <a:cs typeface="+mj-cs"/>
              </a:rPr>
              <a:t>Table Of Data</a:t>
            </a:r>
            <a:endParaRPr lang="ar-EG" sz="1600" b="1" i="0" u="none" strike="noStrike">
              <a:solidFill>
                <a:srgbClr val="F2DB94"/>
              </a:solidFill>
              <a:latin typeface="Lucida Bright" panose="02040602050505020304" pitchFamily="18" charset="0"/>
              <a:ea typeface="+mn-ea"/>
              <a:cs typeface="+mj-cs"/>
            </a:endParaRPr>
          </a:p>
        </xdr:txBody>
      </xdr:sp>
      <xdr:pic>
        <xdr:nvPicPr>
          <xdr:cNvPr id="24" name="Picture 23">
            <a:extLst>
              <a:ext uri="{FF2B5EF4-FFF2-40B4-BE49-F238E27FC236}">
                <a16:creationId xmlns:a16="http://schemas.microsoft.com/office/drawing/2014/main" id="{71F27948-A951-42EB-A591-F619E400E1F2}"/>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rot="10800000">
            <a:off x="16296410" y="173181"/>
            <a:ext cx="228632" cy="228632"/>
          </a:xfrm>
          <a:prstGeom prst="rect">
            <a:avLst/>
          </a:prstGeom>
          <a:solidFill>
            <a:srgbClr val="F2BC1B"/>
          </a:solidFill>
        </xdr:spPr>
      </xdr:pic>
    </xdr:grpSp>
    <xdr:clientData/>
  </xdr:twoCellAnchor>
  <xdr:twoCellAnchor editAs="oneCell">
    <xdr:from>
      <xdr:col>0</xdr:col>
      <xdr:colOff>101294</xdr:colOff>
      <xdr:row>33</xdr:row>
      <xdr:rowOff>49993</xdr:rowOff>
    </xdr:from>
    <xdr:to>
      <xdr:col>3</xdr:col>
      <xdr:colOff>18480</xdr:colOff>
      <xdr:row>40</xdr:row>
      <xdr:rowOff>143120</xdr:rowOff>
    </xdr:to>
    <mc:AlternateContent xmlns:mc="http://schemas.openxmlformats.org/markup-compatibility/2006" xmlns:a14="http://schemas.microsoft.com/office/drawing/2010/main">
      <mc:Choice Requires="a14">
        <xdr:graphicFrame macro="">
          <xdr:nvGraphicFramePr>
            <xdr:cNvPr id="140" name="Payment Method">
              <a:extLst>
                <a:ext uri="{FF2B5EF4-FFF2-40B4-BE49-F238E27FC236}">
                  <a16:creationId xmlns:a16="http://schemas.microsoft.com/office/drawing/2014/main" id="{826C3543-4ED8-41DC-ACD4-A4BDF2CC4186}"/>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01294" y="5980653"/>
              <a:ext cx="1965960" cy="1351146"/>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101294</xdr:colOff>
      <xdr:row>20</xdr:row>
      <xdr:rowOff>133209</xdr:rowOff>
    </xdr:from>
    <xdr:to>
      <xdr:col>3</xdr:col>
      <xdr:colOff>18480</xdr:colOff>
      <xdr:row>30</xdr:row>
      <xdr:rowOff>35345</xdr:rowOff>
    </xdr:to>
    <mc:AlternateContent xmlns:mc="http://schemas.openxmlformats.org/markup-compatibility/2006" xmlns:a14="http://schemas.microsoft.com/office/drawing/2010/main">
      <mc:Choice Requires="a14">
        <xdr:graphicFrame macro="">
          <xdr:nvGraphicFramePr>
            <xdr:cNvPr id="141" name="Region">
              <a:extLst>
                <a:ext uri="{FF2B5EF4-FFF2-40B4-BE49-F238E27FC236}">
                  <a16:creationId xmlns:a16="http://schemas.microsoft.com/office/drawing/2014/main" id="{7DD4D423-9F53-439E-8242-0269A6C5B68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1294" y="3727549"/>
              <a:ext cx="1965960" cy="1699305"/>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101294</xdr:colOff>
      <xdr:row>9</xdr:row>
      <xdr:rowOff>101240</xdr:rowOff>
    </xdr:from>
    <xdr:to>
      <xdr:col>3</xdr:col>
      <xdr:colOff>14703</xdr:colOff>
      <xdr:row>17</xdr:row>
      <xdr:rowOff>118561</xdr:rowOff>
    </xdr:to>
    <mc:AlternateContent xmlns:mc="http://schemas.openxmlformats.org/markup-compatibility/2006" xmlns:a14="http://schemas.microsoft.com/office/drawing/2010/main">
      <mc:Choice Requires="a14">
        <xdr:graphicFrame macro="">
          <xdr:nvGraphicFramePr>
            <xdr:cNvPr id="142" name="Customer Type">
              <a:extLst>
                <a:ext uri="{FF2B5EF4-FFF2-40B4-BE49-F238E27FC236}">
                  <a16:creationId xmlns:a16="http://schemas.microsoft.com/office/drawing/2014/main" id="{A256D5A0-6762-443F-82B0-732B7C79769D}"/>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101294" y="1718693"/>
              <a:ext cx="1962183" cy="1455057"/>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138544</xdr:colOff>
      <xdr:row>4</xdr:row>
      <xdr:rowOff>17316</xdr:rowOff>
    </xdr:from>
    <xdr:to>
      <xdr:col>1</xdr:col>
      <xdr:colOff>346364</xdr:colOff>
      <xdr:row>6</xdr:row>
      <xdr:rowOff>86592</xdr:rowOff>
    </xdr:to>
    <xdr:sp macro="" textlink="Piviot!B15">
      <xdr:nvSpPr>
        <xdr:cNvPr id="143" name="TextBox 142">
          <a:extLst>
            <a:ext uri="{FF2B5EF4-FFF2-40B4-BE49-F238E27FC236}">
              <a16:creationId xmlns:a16="http://schemas.microsoft.com/office/drawing/2014/main" id="{E8522F9C-8BD3-406C-B49E-8654D8E56DE7}"/>
            </a:ext>
          </a:extLst>
        </xdr:cNvPr>
        <xdr:cNvSpPr txBox="1"/>
      </xdr:nvSpPr>
      <xdr:spPr>
        <a:xfrm>
          <a:off x="138544" y="710043"/>
          <a:ext cx="900547" cy="4156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marL="0" indent="0" algn="l"/>
          <a:r>
            <a:rPr lang="en-US" sz="2000" b="1" i="0" u="none" strike="noStrike">
              <a:solidFill>
                <a:srgbClr val="000000"/>
              </a:solidFill>
              <a:latin typeface="Kulim Park"/>
              <a:ea typeface="+mn-ea"/>
              <a:cs typeface="Arial"/>
            </a:rPr>
            <a:t>Menu</a:t>
          </a:r>
          <a:endParaRPr lang="ar-EG" sz="2000" b="1" i="0" u="none" strike="noStrike">
            <a:solidFill>
              <a:srgbClr val="000000"/>
            </a:solidFill>
            <a:latin typeface="Kulim Park"/>
            <a:ea typeface="+mn-ea"/>
            <a:cs typeface="Arial"/>
          </a:endParaRPr>
        </a:p>
      </xdr:txBody>
    </xdr:sp>
    <xdr:clientData/>
  </xdr:twoCellAnchor>
  <xdr:twoCellAnchor>
    <xdr:from>
      <xdr:col>0</xdr:col>
      <xdr:colOff>71887</xdr:colOff>
      <xdr:row>7</xdr:row>
      <xdr:rowOff>104559</xdr:rowOff>
    </xdr:from>
    <xdr:to>
      <xdr:col>2</xdr:col>
      <xdr:colOff>379358</xdr:colOff>
      <xdr:row>9</xdr:row>
      <xdr:rowOff>71887</xdr:rowOff>
    </xdr:to>
    <xdr:sp macro="" textlink="Piviot!B15">
      <xdr:nvSpPr>
        <xdr:cNvPr id="147" name="TextBox 146">
          <a:extLst>
            <a:ext uri="{FF2B5EF4-FFF2-40B4-BE49-F238E27FC236}">
              <a16:creationId xmlns:a16="http://schemas.microsoft.com/office/drawing/2014/main" id="{ED03ECCC-5E37-4AE1-8C11-567BDE69C297}"/>
            </a:ext>
          </a:extLst>
        </xdr:cNvPr>
        <xdr:cNvSpPr txBox="1"/>
      </xdr:nvSpPr>
      <xdr:spPr>
        <a:xfrm>
          <a:off x="71887" y="1362578"/>
          <a:ext cx="1673320" cy="3267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algn="l"/>
          <a:r>
            <a:rPr lang="en-US" sz="1600" b="0" i="0" u="none" strike="noStrike">
              <a:solidFill>
                <a:srgbClr val="000000"/>
              </a:solidFill>
              <a:latin typeface="Arial"/>
              <a:cs typeface="Arial"/>
            </a:rPr>
            <a:t>Customer</a:t>
          </a:r>
          <a:r>
            <a:rPr lang="en-US" sz="1600" b="0" i="0" u="none" strike="noStrike" baseline="0">
              <a:solidFill>
                <a:srgbClr val="000000"/>
              </a:solidFill>
              <a:latin typeface="Arial"/>
              <a:cs typeface="Arial"/>
            </a:rPr>
            <a:t> Type</a:t>
          </a:r>
          <a:endParaRPr lang="ar-EG" sz="1600" b="0"/>
        </a:p>
      </xdr:txBody>
    </xdr:sp>
    <xdr:clientData/>
  </xdr:twoCellAnchor>
  <xdr:twoCellAnchor>
    <xdr:from>
      <xdr:col>0</xdr:col>
      <xdr:colOff>71887</xdr:colOff>
      <xdr:row>19</xdr:row>
      <xdr:rowOff>104560</xdr:rowOff>
    </xdr:from>
    <xdr:to>
      <xdr:col>2</xdr:col>
      <xdr:colOff>379358</xdr:colOff>
      <xdr:row>21</xdr:row>
      <xdr:rowOff>71888</xdr:rowOff>
    </xdr:to>
    <xdr:sp macro="" textlink="Piviot!B15">
      <xdr:nvSpPr>
        <xdr:cNvPr id="149" name="TextBox 148">
          <a:extLst>
            <a:ext uri="{FF2B5EF4-FFF2-40B4-BE49-F238E27FC236}">
              <a16:creationId xmlns:a16="http://schemas.microsoft.com/office/drawing/2014/main" id="{C4C2DE18-E11B-4856-9075-273FAFAE666C}"/>
            </a:ext>
          </a:extLst>
        </xdr:cNvPr>
        <xdr:cNvSpPr txBox="1"/>
      </xdr:nvSpPr>
      <xdr:spPr>
        <a:xfrm>
          <a:off x="71887" y="3519183"/>
          <a:ext cx="1673320" cy="3267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algn="l"/>
          <a:r>
            <a:rPr lang="en-US" sz="1600" b="0" i="0" u="none" strike="noStrike">
              <a:solidFill>
                <a:srgbClr val="000000"/>
              </a:solidFill>
              <a:latin typeface="Arial"/>
              <a:cs typeface="Arial"/>
            </a:rPr>
            <a:t>Regions</a:t>
          </a:r>
          <a:endParaRPr lang="ar-EG" sz="1600" b="0"/>
        </a:p>
      </xdr:txBody>
    </xdr:sp>
    <xdr:clientData/>
  </xdr:twoCellAnchor>
  <xdr:twoCellAnchor>
    <xdr:from>
      <xdr:col>0</xdr:col>
      <xdr:colOff>71887</xdr:colOff>
      <xdr:row>31</xdr:row>
      <xdr:rowOff>104561</xdr:rowOff>
    </xdr:from>
    <xdr:to>
      <xdr:col>2</xdr:col>
      <xdr:colOff>379358</xdr:colOff>
      <xdr:row>33</xdr:row>
      <xdr:rowOff>71889</xdr:rowOff>
    </xdr:to>
    <xdr:sp macro="" textlink="Piviot!B15">
      <xdr:nvSpPr>
        <xdr:cNvPr id="150" name="TextBox 149">
          <a:extLst>
            <a:ext uri="{FF2B5EF4-FFF2-40B4-BE49-F238E27FC236}">
              <a16:creationId xmlns:a16="http://schemas.microsoft.com/office/drawing/2014/main" id="{2170CFF9-714B-469F-A73A-55BB3598FE25}"/>
            </a:ext>
          </a:extLst>
        </xdr:cNvPr>
        <xdr:cNvSpPr txBox="1"/>
      </xdr:nvSpPr>
      <xdr:spPr>
        <a:xfrm>
          <a:off x="71887" y="5675787"/>
          <a:ext cx="1673320" cy="3267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1" anchor="t">
          <a:noAutofit/>
        </a:bodyPr>
        <a:lstStyle/>
        <a:p>
          <a:pPr algn="l"/>
          <a:r>
            <a:rPr lang="en-US" sz="1600" b="0" i="0" u="none" strike="noStrike">
              <a:solidFill>
                <a:srgbClr val="000000"/>
              </a:solidFill>
              <a:latin typeface="Arial"/>
              <a:cs typeface="Arial"/>
            </a:rPr>
            <a:t>Payment Type</a:t>
          </a:r>
          <a:endParaRPr lang="ar-EG" sz="1600" b="0"/>
        </a:p>
      </xdr:txBody>
    </xdr:sp>
    <xdr:clientData/>
  </xdr:twoCellAnchor>
  <xdr:twoCellAnchor>
    <xdr:from>
      <xdr:col>0</xdr:col>
      <xdr:colOff>179719</xdr:colOff>
      <xdr:row>18</xdr:row>
      <xdr:rowOff>71886</xdr:rowOff>
    </xdr:from>
    <xdr:to>
      <xdr:col>2</xdr:col>
      <xdr:colOff>629012</xdr:colOff>
      <xdr:row>18</xdr:row>
      <xdr:rowOff>71888</xdr:rowOff>
    </xdr:to>
    <xdr:cxnSp macro="">
      <xdr:nvCxnSpPr>
        <xdr:cNvPr id="152" name="Straight Connector 151">
          <a:extLst>
            <a:ext uri="{FF2B5EF4-FFF2-40B4-BE49-F238E27FC236}">
              <a16:creationId xmlns:a16="http://schemas.microsoft.com/office/drawing/2014/main" id="{1588235D-07C3-442D-B888-C34F2E2357BB}"/>
            </a:ext>
          </a:extLst>
        </xdr:cNvPr>
        <xdr:cNvCxnSpPr/>
      </xdr:nvCxnSpPr>
      <xdr:spPr>
        <a:xfrm flipV="1">
          <a:off x="179719" y="3306792"/>
          <a:ext cx="1815142" cy="2"/>
        </a:xfrm>
        <a:prstGeom prst="line">
          <a:avLst/>
        </a:prstGeom>
        <a:ln w="6350">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179719</xdr:colOff>
      <xdr:row>31</xdr:row>
      <xdr:rowOff>0</xdr:rowOff>
    </xdr:from>
    <xdr:to>
      <xdr:col>2</xdr:col>
      <xdr:colOff>629012</xdr:colOff>
      <xdr:row>31</xdr:row>
      <xdr:rowOff>2</xdr:rowOff>
    </xdr:to>
    <xdr:cxnSp macro="">
      <xdr:nvCxnSpPr>
        <xdr:cNvPr id="153" name="Straight Connector 152">
          <a:extLst>
            <a:ext uri="{FF2B5EF4-FFF2-40B4-BE49-F238E27FC236}">
              <a16:creationId xmlns:a16="http://schemas.microsoft.com/office/drawing/2014/main" id="{C6101F77-F742-49FA-A672-396E44F2AFEF}"/>
            </a:ext>
          </a:extLst>
        </xdr:cNvPr>
        <xdr:cNvCxnSpPr/>
      </xdr:nvCxnSpPr>
      <xdr:spPr>
        <a:xfrm flipV="1">
          <a:off x="179719" y="5571226"/>
          <a:ext cx="1815142" cy="2"/>
        </a:xfrm>
        <a:prstGeom prst="line">
          <a:avLst/>
        </a:prstGeom>
        <a:ln w="6350">
          <a:solidFill>
            <a:schemeClr val="tx1"/>
          </a:solidFill>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776285</xdr:colOff>
      <xdr:row>1</xdr:row>
      <xdr:rowOff>23817</xdr:rowOff>
    </xdr:from>
    <xdr:to>
      <xdr:col>13</xdr:col>
      <xdr:colOff>2833695</xdr:colOff>
      <xdr:row>2</xdr:row>
      <xdr:rowOff>214316</xdr:rowOff>
    </xdr:to>
    <xdr:grpSp>
      <xdr:nvGrpSpPr>
        <xdr:cNvPr id="6" name="Group 5">
          <a:hlinkClick xmlns:r="http://schemas.openxmlformats.org/officeDocument/2006/relationships" r:id="rId1"/>
          <a:extLst>
            <a:ext uri="{FF2B5EF4-FFF2-40B4-BE49-F238E27FC236}">
              <a16:creationId xmlns:a16="http://schemas.microsoft.com/office/drawing/2014/main" id="{39436B20-99AF-4A15-B863-A68E294FEC3E}"/>
            </a:ext>
          </a:extLst>
        </xdr:cNvPr>
        <xdr:cNvGrpSpPr/>
      </xdr:nvGrpSpPr>
      <xdr:grpSpPr>
        <a:xfrm>
          <a:off x="32266864" y="279366"/>
          <a:ext cx="2057410" cy="446048"/>
          <a:chOff x="32137349" y="285755"/>
          <a:chExt cx="2057410" cy="452436"/>
        </a:xfrm>
      </xdr:grpSpPr>
      <xdr:sp macro="" textlink="">
        <xdr:nvSpPr>
          <xdr:cNvPr id="5" name="Rectangle: Rounded Corners 4">
            <a:extLst>
              <a:ext uri="{FF2B5EF4-FFF2-40B4-BE49-F238E27FC236}">
                <a16:creationId xmlns:a16="http://schemas.microsoft.com/office/drawing/2014/main" id="{B44A1539-11B6-4B74-80D5-42DBBDF4936E}"/>
              </a:ext>
            </a:extLst>
          </xdr:cNvPr>
          <xdr:cNvSpPr/>
        </xdr:nvSpPr>
        <xdr:spPr>
          <a:xfrm>
            <a:off x="32194509" y="285755"/>
            <a:ext cx="2000250" cy="452436"/>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1" anchor="t"/>
          <a:lstStyle/>
          <a:p>
            <a:pPr algn="l"/>
            <a:endParaRPr lang="ar-EG" sz="1100"/>
          </a:p>
        </xdr:txBody>
      </xdr:sp>
      <xdr:sp macro="" textlink="Piviot!B3">
        <xdr:nvSpPr>
          <xdr:cNvPr id="3" name="TextBox 2">
            <a:extLst>
              <a:ext uri="{FF2B5EF4-FFF2-40B4-BE49-F238E27FC236}">
                <a16:creationId xmlns:a16="http://schemas.microsoft.com/office/drawing/2014/main" id="{C560FBEF-6771-4C92-A2AF-652607FEB67C}"/>
              </a:ext>
            </a:extLst>
          </xdr:cNvPr>
          <xdr:cNvSpPr txBox="1"/>
        </xdr:nvSpPr>
        <xdr:spPr>
          <a:xfrm>
            <a:off x="32137349" y="404820"/>
            <a:ext cx="1724032" cy="25977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1" anchor="ctr">
            <a:noAutofit/>
          </a:bodyPr>
          <a:lstStyle/>
          <a:p>
            <a:pPr marL="0" indent="0" algn="ctr"/>
            <a:r>
              <a:rPr lang="en-US" sz="2000" b="1" i="0" u="none" strike="noStrike">
                <a:solidFill>
                  <a:srgbClr val="F2DB94"/>
                </a:solidFill>
                <a:latin typeface="Lucida Bright" panose="02040602050505020304" pitchFamily="18" charset="0"/>
                <a:ea typeface="+mn-ea"/>
                <a:cs typeface="+mj-cs"/>
              </a:rPr>
              <a:t>Dashboard</a:t>
            </a:r>
            <a:endParaRPr lang="ar-EG" sz="2000" b="1" i="0" u="none" strike="noStrike">
              <a:solidFill>
                <a:srgbClr val="F2DB94"/>
              </a:solidFill>
              <a:latin typeface="Lucida Bright" panose="02040602050505020304" pitchFamily="18" charset="0"/>
              <a:ea typeface="+mn-ea"/>
              <a:cs typeface="+mj-cs"/>
            </a:endParaRPr>
          </a:p>
        </xdr:txBody>
      </xdr:sp>
      <xdr:pic>
        <xdr:nvPicPr>
          <xdr:cNvPr id="4" name="Picture 3">
            <a:extLst>
              <a:ext uri="{FF2B5EF4-FFF2-40B4-BE49-F238E27FC236}">
                <a16:creationId xmlns:a16="http://schemas.microsoft.com/office/drawing/2014/main" id="{CD0042BE-B9C6-4FC2-B635-74B6F9FA77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rot="10800000">
            <a:off x="33825452" y="404817"/>
            <a:ext cx="228632" cy="228632"/>
          </a:xfrm>
          <a:prstGeom prst="rect">
            <a:avLst/>
          </a:prstGeom>
          <a:solidFill>
            <a:srgbClr val="F2BC1B"/>
          </a:solidFill>
        </xdr:spPr>
      </xdr:pic>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 refreshedDate="46035.891311689818" backgroundQuery="1" createdVersion="7" refreshedVersion="7" minRefreshableVersion="3" recordCount="0" supportSubquery="1" supportAdvancedDrill="1" xr:uid="{9C7DB43F-477A-4DF0-B527-24F7068A6277}">
  <cacheSource type="external" connectionId="1"/>
  <cacheFields count="3">
    <cacheField name="[Measures].[Sum of Total Sale]" caption="Sum of Total Sale" numFmtId="0" hierarchy="19" level="32767"/>
    <cacheField name="[Table1].[Sales Representative].[Sales Representative]" caption="Sales Representative" numFmtId="0" hierarchy="3" level="1">
      <sharedItems count="5">
        <s v="Alice"/>
        <s v="Bob"/>
        <s v="Charlie"/>
        <s v="Diana"/>
        <s v="Eve"/>
      </sharedItems>
    </cacheField>
    <cacheField name="[Table1].[Customer Type].[Customer Type]" caption="Customer Type" numFmtId="0" hierarchy="13" level="1">
      <sharedItems containsSemiMixedTypes="0" containsNonDate="0" containsString="0"/>
    </cacheField>
  </cacheFields>
  <cacheHierarchies count="23">
    <cacheHierarchy uniqueName="[Table1].[Date]" caption="Date" attribute="1" time="1" defaultMemberUniqueName="[Table1].[Date].[All]" allUniqueName="[Table1].[Date].[All]" dimensionUniqueName="[Table1]" displayFolder="" count="2" memberValueDatatype="7" unbalanced="0"/>
    <cacheHierarchy uniqueName="[Table1].[Product Name]" caption="Product Name" attribute="1" defaultMemberUniqueName="[Table1].[Product Name].[All]" allUniqueName="[Table1].[Product Name].[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ales Representative]" caption="Sales Representative" attribute="1" defaultMemberUniqueName="[Table1].[Sales Representative].[All]" allUniqueName="[Table1].[Sales Representative].[All]" dimensionUniqueName="[Table1]" displayFolder="" count="2" memberValueDatatype="130" unbalanced="0">
      <fieldsUsage count="2">
        <fieldUsage x="-1"/>
        <fieldUsage x="1"/>
      </fieldsUsage>
    </cacheHierarchy>
    <cacheHierarchy uniqueName="[Table1].[Region]" caption="Region" attribute="1" defaultMemberUniqueName="[Table1].[Region].[All]" allUniqueName="[Table1].[Region].[All]" dimensionUniqueName="[Table1]" displayFolder="" count="2" memberValueDatatype="130" unbalanced="0"/>
    <cacheHierarchy uniqueName="[Table1].[Quantity Sold]" caption="Quantity Sold" attribute="1" defaultMemberUniqueName="[Table1].[Quantity Sold].[All]" allUniqueName="[Table1].[Quantity Sold].[All]" dimensionUniqueName="[Table1]" displayFolder="" count="2" memberValueDatatype="20" unbalanced="0"/>
    <cacheHierarchy uniqueName="[Table1].[Unit Price]" caption="Unit Price" attribute="1" defaultMemberUniqueName="[Table1].[Unit Price].[All]" allUniqueName="[Table1].[Unit Price].[All]" dimensionUniqueName="[Table1]" displayFolder="" count="2" memberValueDatatype="5" unbalanced="0"/>
    <cacheHierarchy uniqueName="[Table1].[Total Sale]" caption="Total Sale" attribute="1" defaultMemberUniqueName="[Table1].[Total Sale].[All]" allUniqueName="[Table1].[Total Sale].[All]" dimensionUniqueName="[Table1]" displayFolder="" count="2" memberValueDatatype="5" unbalanced="0"/>
    <cacheHierarchy uniqueName="[Table1].[Cost Price]" caption="Cost Price" attribute="1" defaultMemberUniqueName="[Table1].[Cost Price].[All]" allUniqueName="[Table1].[Cost Price].[All]" dimensionUniqueName="[Table1]" displayFolder="" count="2" memberValueDatatype="5" unbalanced="0"/>
    <cacheHierarchy uniqueName="[Table1].[Profit]" caption="Profit" attribute="1" defaultMemberUniqueName="[Table1].[Profit].[All]" allUniqueName="[Table1].[Profit].[All]" dimensionUniqueName="[Table1]" displayFolder="" count="2" memberValueDatatype="5" unbalanced="0"/>
    <cacheHierarchy uniqueName="[Table1].[Payment Method]" caption="Payment Method" attribute="1" defaultMemberUniqueName="[Table1].[Payment Method].[All]" allUniqueName="[Table1].[Payment Method].[All]" dimensionUniqueName="[Table1]" displayFolder="" count="2" memberValueDatatype="130" unbalanced="0"/>
    <cacheHierarchy uniqueName="[Table1].[Order Status]" caption="Order Status" attribute="1" defaultMemberUniqueName="[Table1].[Order Status].[All]" allUniqueName="[Table1].[Order Status].[All]" dimensionUniqueName="[Table1]" displayFolder="" count="2" memberValueDatatype="130" unbalanced="0"/>
    <cacheHierarchy uniqueName="[Table1].[Region Manager]" caption="Region Manager" attribute="1" defaultMemberUniqueName="[Table1].[Region Manager].[All]" allUniqueName="[Table1].[Region Manager].[All]" dimensionUniqueName="[Table1]" displayFolder="" count="2" memberValueDatatype="130" unbalanced="0"/>
    <cacheHierarchy uniqueName="[Table1].[Customer Type]" caption="Customer Type" attribute="1" defaultMemberUniqueName="[Table1].[Customer Type].[All]" allUniqueName="[Table1].[Customer Type].[All]" dimensionUniqueName="[Table1]" displayFolder="" count="2" memberValueDatatype="130" unbalanced="0">
      <fieldsUsage count="2">
        <fieldUsage x="-1"/>
        <fieldUsage x="2"/>
      </fieldsUsage>
    </cacheHierarchy>
    <cacheHierarchy uniqueName="[Table1].[Date (Month)]" caption="Date (Month)" attribute="1" defaultMemberUniqueName="[Table1].[Date (Month)].[All]" allUniqueName="[Table1].[Date (Month)].[All]" dimensionUniqueName="[Table1]" displayFolder="" count="2" memberValueDatatype="130" unbalanced="0"/>
    <cacheHierarchy uniqueName="[Table1].[Date (Month Index)]" caption="Date (Month Index)" attribute="1" defaultMemberUniqueName="[Table1].[Date (Month Index)].[All]" allUniqueName="[Table1].[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9"/>
        </ext>
      </extLst>
    </cacheHierarchy>
    <cacheHierarchy uniqueName="[Measures].[Sum of Total Sale]" caption="Sum of Total Sale" measure="1" displayFolder="" measureGroup="Table1"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Product Name]" caption="Count of Product Name" measure="1" displayFolder="" measureGroup="Table1" count="0" hidden="1">
      <extLst>
        <ext xmlns:x15="http://schemas.microsoft.com/office/spreadsheetml/2010/11/main" uri="{B97F6D7D-B522-45F9-BDA1-12C45D357490}">
          <x15:cacheHierarchy aggregatedColumn="1"/>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5"/>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 refreshedDate="46035.891312384258" backgroundQuery="1" createdVersion="7" refreshedVersion="7" minRefreshableVersion="3" recordCount="0" supportSubquery="1" supportAdvancedDrill="1" xr:uid="{330605F8-FA79-48B9-AD6B-317D61E0D105}">
  <cacheSource type="external" connectionId="1"/>
  <cacheFields count="3">
    <cacheField name="[Table1].[Category].[Category]" caption="Category" numFmtId="0" hierarchy="2" level="1">
      <sharedItems count="5">
        <s v="Beauty"/>
        <s v="Clothing"/>
        <s v="Electronics"/>
        <s v="Home Goods"/>
        <s v="Sports"/>
      </sharedItems>
    </cacheField>
    <cacheField name="[Measures].[Sum of Total Sale]" caption="Sum of Total Sale" numFmtId="0" hierarchy="19" level="32767"/>
    <cacheField name="[Table1].[Customer Type].[Customer Type]" caption="Customer Type" numFmtId="0" hierarchy="13" level="1">
      <sharedItems containsSemiMixedTypes="0" containsNonDate="0" containsString="0"/>
    </cacheField>
  </cacheFields>
  <cacheHierarchies count="23">
    <cacheHierarchy uniqueName="[Table1].[Date]" caption="Date" attribute="1" time="1" defaultMemberUniqueName="[Table1].[Date].[All]" allUniqueName="[Table1].[Date].[All]" dimensionUniqueName="[Table1]" displayFolder="" count="0" memberValueDatatype="7"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Sales Representative]" caption="Sales Representative" attribute="1" defaultMemberUniqueName="[Table1].[Sales Representative].[All]" allUniqueName="[Table1].[Sales Representativ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Total Sale]" caption="Total Sale" attribute="1" defaultMemberUniqueName="[Table1].[Total Sale].[All]" allUniqueName="[Table1].[Total Sale].[All]" dimensionUniqueName="[Table1]" displayFolder="" count="0" memberValueDatatype="5" unbalanced="0"/>
    <cacheHierarchy uniqueName="[Table1].[Cost Price]" caption="Cost Price" attribute="1" defaultMemberUniqueName="[Table1].[Cost Price].[All]" allUniqueName="[Table1].[Cos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2"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Region Manager]" caption="Region Manager" attribute="1" defaultMemberUniqueName="[Table1].[Region Manager].[All]" allUniqueName="[Table1].[Region Manager].[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2" memberValueDatatype="130" unbalanced="0">
      <fieldsUsage count="2">
        <fieldUsage x="-1"/>
        <fieldUsage x="2"/>
      </fieldsUsage>
    </cacheHierarchy>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9"/>
        </ext>
      </extLst>
    </cacheHierarchy>
    <cacheHierarchy uniqueName="[Measures].[Sum of Total Sale]" caption="Sum of Total Sale"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Product Name]" caption="Count of Product Name" measure="1" displayFolder="" measureGroup="Table1" count="0" hidden="1">
      <extLst>
        <ext xmlns:x15="http://schemas.microsoft.com/office/spreadsheetml/2010/11/main" uri="{B97F6D7D-B522-45F9-BDA1-12C45D357490}">
          <x15:cacheHierarchy aggregatedColumn="1"/>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5"/>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 refreshedDate="46035.891313078704" backgroundQuery="1" createdVersion="7" refreshedVersion="7" minRefreshableVersion="3" recordCount="0" supportSubquery="1" supportAdvancedDrill="1" xr:uid="{C006837E-131B-4D17-B7F8-F118C0CF7AA9}">
  <cacheSource type="external" connectionId="1"/>
  <cacheFields count="3">
    <cacheField name="[Measures].[Sum of Total Sale]" caption="Sum of Total Sale" numFmtId="0" hierarchy="19" level="32767"/>
    <cacheField name="[Table1].[Region].[Region]" caption="Region" numFmtId="0" hierarchy="4" level="1">
      <sharedItems count="4">
        <s v="East"/>
        <s v="North"/>
        <s v="South"/>
        <s v="West"/>
      </sharedItems>
    </cacheField>
    <cacheField name="[Table1].[Customer Type].[Customer Type]" caption="Customer Type" numFmtId="0" hierarchy="13" level="1">
      <sharedItems containsSemiMixedTypes="0" containsNonDate="0" containsString="0"/>
    </cacheField>
  </cacheFields>
  <cacheHierarchies count="23">
    <cacheHierarchy uniqueName="[Table1].[Date]" caption="Date" attribute="1" time="1" defaultMemberUniqueName="[Table1].[Date].[All]" allUniqueName="[Table1].[Date].[All]" dimensionUniqueName="[Table1]" displayFolder="" count="0" memberValueDatatype="7"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ales Representative]" caption="Sales Representative" attribute="1" defaultMemberUniqueName="[Table1].[Sales Representative].[All]" allUniqueName="[Table1].[Sales Representativ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Total Sale]" caption="Total Sale" attribute="1" defaultMemberUniqueName="[Table1].[Total Sale].[All]" allUniqueName="[Table1].[Total Sale].[All]" dimensionUniqueName="[Table1]" displayFolder="" count="0" memberValueDatatype="5" unbalanced="0"/>
    <cacheHierarchy uniqueName="[Table1].[Cost Price]" caption="Cost Price" attribute="1" defaultMemberUniqueName="[Table1].[Cost Price].[All]" allUniqueName="[Table1].[Cos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2"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Region Manager]" caption="Region Manager" attribute="1" defaultMemberUniqueName="[Table1].[Region Manager].[All]" allUniqueName="[Table1].[Region Manager].[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2" memberValueDatatype="130" unbalanced="0">
      <fieldsUsage count="2">
        <fieldUsage x="-1"/>
        <fieldUsage x="2"/>
      </fieldsUsage>
    </cacheHierarchy>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9"/>
        </ext>
      </extLst>
    </cacheHierarchy>
    <cacheHierarchy uniqueName="[Measures].[Sum of Total Sale]" caption="Sum of Total Sale" measure="1" displayFolder="" measureGroup="Table1"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Product Name]" caption="Count of Product Name" measure="1" displayFolder="" measureGroup="Table1" count="0" hidden="1">
      <extLst>
        <ext xmlns:x15="http://schemas.microsoft.com/office/spreadsheetml/2010/11/main" uri="{B97F6D7D-B522-45F9-BDA1-12C45D357490}">
          <x15:cacheHierarchy aggregatedColumn="1"/>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5"/>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 refreshedDate="46035.891313773151" backgroundQuery="1" createdVersion="7" refreshedVersion="7" minRefreshableVersion="3" recordCount="0" supportSubquery="1" supportAdvancedDrill="1" xr:uid="{1D652C63-7FCB-4BB7-B20C-034DC9ADE52A}">
  <cacheSource type="external" connectionId="1"/>
  <cacheFields count="3">
    <cacheField name="[Measures].[Sum of Total Sale]" caption="Sum of Total Sale" numFmtId="0" hierarchy="19" level="32767"/>
    <cacheField name="[Table1].[Region Manager].[Region Manager]" caption="Region Manager" numFmtId="0" hierarchy="12" level="1">
      <sharedItems count="4">
        <s v="Lisa White"/>
        <s v="Mark Davis"/>
        <s v="Sarah Johnson"/>
        <s v="Tom Brown"/>
      </sharedItems>
    </cacheField>
    <cacheField name="[Table1].[Customer Type].[Customer Type]" caption="Customer Type" numFmtId="0" hierarchy="13" level="1">
      <sharedItems containsSemiMixedTypes="0" containsNonDate="0" containsString="0"/>
    </cacheField>
  </cacheFields>
  <cacheHierarchies count="23">
    <cacheHierarchy uniqueName="[Table1].[Date]" caption="Date" attribute="1" time="1" defaultMemberUniqueName="[Table1].[Date].[All]" allUniqueName="[Table1].[Date].[All]" dimensionUniqueName="[Table1]" displayFolder="" count="0" memberValueDatatype="7"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ales Representative]" caption="Sales Representative" attribute="1" defaultMemberUniqueName="[Table1].[Sales Representative].[All]" allUniqueName="[Table1].[Sales Representativ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Total Sale]" caption="Total Sale" attribute="1" defaultMemberUniqueName="[Table1].[Total Sale].[All]" allUniqueName="[Table1].[Total Sale].[All]" dimensionUniqueName="[Table1]" displayFolder="" count="0" memberValueDatatype="5" unbalanced="0"/>
    <cacheHierarchy uniqueName="[Table1].[Cost Price]" caption="Cost Price" attribute="1" defaultMemberUniqueName="[Table1].[Cost Price].[All]" allUniqueName="[Table1].[Cos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2"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Region Manager]" caption="Region Manager" attribute="1" defaultMemberUniqueName="[Table1].[Region Manager].[All]" allUniqueName="[Table1].[Region Manager].[All]" dimensionUniqueName="[Table1]" displayFolder="" count="2" memberValueDatatype="130" unbalanced="0">
      <fieldsUsage count="2">
        <fieldUsage x="-1"/>
        <fieldUsage x="1"/>
      </fieldsUsage>
    </cacheHierarchy>
    <cacheHierarchy uniqueName="[Table1].[Customer Type]" caption="Customer Type" attribute="1" defaultMemberUniqueName="[Table1].[Customer Type].[All]" allUniqueName="[Table1].[Customer Type].[All]" dimensionUniqueName="[Table1]" displayFolder="" count="2" memberValueDatatype="130" unbalanced="0">
      <fieldsUsage count="2">
        <fieldUsage x="-1"/>
        <fieldUsage x="2"/>
      </fieldsUsage>
    </cacheHierarchy>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9"/>
        </ext>
      </extLst>
    </cacheHierarchy>
    <cacheHierarchy uniqueName="[Measures].[Sum of Total Sale]" caption="Sum of Total Sale" measure="1" displayFolder="" measureGroup="Table1"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Product Name]" caption="Count of Product Name" measure="1" displayFolder="" measureGroup="Table1" count="0" hidden="1">
      <extLst>
        <ext xmlns:x15="http://schemas.microsoft.com/office/spreadsheetml/2010/11/main" uri="{B97F6D7D-B522-45F9-BDA1-12C45D357490}">
          <x15:cacheHierarchy aggregatedColumn="1"/>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5"/>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 refreshedDate="46035.891314583336" backgroundQuery="1" createdVersion="7" refreshedVersion="7" minRefreshableVersion="3" recordCount="0" supportSubquery="1" supportAdvancedDrill="1" xr:uid="{E5F23729-E2BB-433E-8FFF-0B4EF0F874B4}">
  <cacheSource type="external" connectionId="1"/>
  <cacheFields count="4">
    <cacheField name="[Measures].[Count of Product Name]" caption="Count of Product Name" numFmtId="0" hierarchy="20" level="32767"/>
    <cacheField name="[Table1].[Order Status].[Order Status]" caption="Order Status" numFmtId="0" hierarchy="11" level="1">
      <sharedItems count="3">
        <s v="Cancelled"/>
        <s v="Completed"/>
        <s v="Pending"/>
      </sharedItems>
    </cacheField>
    <cacheField name="[Measures].[Sum of Quantity Sold]" caption="Sum of Quantity Sold" numFmtId="0" hierarchy="21" level="32767"/>
    <cacheField name="[Table1].[Customer Type].[Customer Type]" caption="Customer Type" numFmtId="0" hierarchy="13" level="1">
      <sharedItems containsSemiMixedTypes="0" containsNonDate="0" containsString="0"/>
    </cacheField>
  </cacheFields>
  <cacheHierarchies count="23">
    <cacheHierarchy uniqueName="[Table1].[Date]" caption="Date" attribute="1" time="1" defaultMemberUniqueName="[Table1].[Date].[All]" allUniqueName="[Table1].[Date].[All]" dimensionUniqueName="[Table1]" displayFolder="" count="0" memberValueDatatype="7"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ales Representative]" caption="Sales Representative" attribute="1" defaultMemberUniqueName="[Table1].[Sales Representative].[All]" allUniqueName="[Table1].[Sales Representativ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Total Sale]" caption="Total Sale" attribute="1" defaultMemberUniqueName="[Table1].[Total Sale].[All]" allUniqueName="[Table1].[Total Sale].[All]" dimensionUniqueName="[Table1]" displayFolder="" count="0" memberValueDatatype="5" unbalanced="0"/>
    <cacheHierarchy uniqueName="[Table1].[Cost Price]" caption="Cost Price" attribute="1" defaultMemberUniqueName="[Table1].[Cost Price].[All]" allUniqueName="[Table1].[Cos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2" memberValueDatatype="130" unbalanced="0"/>
    <cacheHierarchy uniqueName="[Table1].[Order Status]" caption="Order Status" attribute="1" defaultMemberUniqueName="[Table1].[Order Status].[All]" allUniqueName="[Table1].[Order Status].[All]" dimensionUniqueName="[Table1]" displayFolder="" count="2" memberValueDatatype="130" unbalanced="0">
      <fieldsUsage count="2">
        <fieldUsage x="-1"/>
        <fieldUsage x="1"/>
      </fieldsUsage>
    </cacheHierarchy>
    <cacheHierarchy uniqueName="[Table1].[Region Manager]" caption="Region Manager" attribute="1" defaultMemberUniqueName="[Table1].[Region Manager].[All]" allUniqueName="[Table1].[Region Manager].[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2" memberValueDatatype="130" unbalanced="0">
      <fieldsUsage count="2">
        <fieldUsage x="-1"/>
        <fieldUsage x="3"/>
      </fieldsUsage>
    </cacheHierarchy>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9"/>
        </ext>
      </extLst>
    </cacheHierarchy>
    <cacheHierarchy uniqueName="[Measures].[Sum of Total Sale]" caption="Sum of Total Sale" measure="1" displayFolder="" measureGroup="Table1" count="0" hidden="1">
      <extLst>
        <ext xmlns:x15="http://schemas.microsoft.com/office/spreadsheetml/2010/11/main" uri="{B97F6D7D-B522-45F9-BDA1-12C45D357490}">
          <x15:cacheHierarchy aggregatedColumn="7"/>
        </ext>
      </extLst>
    </cacheHierarchy>
    <cacheHierarchy uniqueName="[Measures].[Count of Product Name]" caption="Count of Product Name"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Quantity Sold]" caption="Sum of Quantity Sold" measure="1" displayFolder="" measureGroup="Table1"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 refreshedDate="46035.891315277775" backgroundQuery="1" createdVersion="7" refreshedVersion="7" minRefreshableVersion="3" recordCount="0" supportSubquery="1" supportAdvancedDrill="1" xr:uid="{EC010909-4914-4382-B7E5-0B33B6C09452}">
  <cacheSource type="external" connectionId="1"/>
  <cacheFields count="3">
    <cacheField name="[Measures].[Sum of Total Sale]" caption="Sum of Total Sale" numFmtId="0" hierarchy="19" level="32767"/>
    <cacheField name="[Table1].[Date (Month)].[Date (Month)]" caption="Date (Month)" numFmtId="0" hierarchy="14" level="1">
      <sharedItems count="12">
        <s v="Jan"/>
        <s v="Feb"/>
        <s v="Mar"/>
        <s v="Apr"/>
        <s v="May"/>
        <s v="Jun"/>
        <s v="Jul"/>
        <s v="Aug"/>
        <s v="Sep"/>
        <s v="Oct"/>
        <s v="Nov"/>
        <s v="Dec"/>
      </sharedItems>
    </cacheField>
    <cacheField name="[Table1].[Customer Type].[Customer Type]" caption="Customer Type" numFmtId="0" hierarchy="13" level="1">
      <sharedItems containsSemiMixedTypes="0" containsNonDate="0" containsString="0"/>
    </cacheField>
  </cacheFields>
  <cacheHierarchies count="23">
    <cacheHierarchy uniqueName="[Table1].[Date]" caption="Date" attribute="1" time="1" defaultMemberUniqueName="[Table1].[Date].[All]" allUniqueName="[Table1].[Date].[All]" dimensionUniqueName="[Table1]" displayFolder="" count="0" memberValueDatatype="7"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ales Representative]" caption="Sales Representative" attribute="1" defaultMemberUniqueName="[Table1].[Sales Representative].[All]" allUniqueName="[Table1].[Sales Representativ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Total Sale]" caption="Total Sale" attribute="1" defaultMemberUniqueName="[Table1].[Total Sale].[All]" allUniqueName="[Table1].[Total Sale].[All]" dimensionUniqueName="[Table1]" displayFolder="" count="0" memberValueDatatype="5" unbalanced="0"/>
    <cacheHierarchy uniqueName="[Table1].[Cost Price]" caption="Cost Price" attribute="1" defaultMemberUniqueName="[Table1].[Cost Price].[All]" allUniqueName="[Table1].[Cos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2"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Region Manager]" caption="Region Manager" attribute="1" defaultMemberUniqueName="[Table1].[Region Manager].[All]" allUniqueName="[Table1].[Region Manager].[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2" memberValueDatatype="130" unbalanced="0">
      <fieldsUsage count="2">
        <fieldUsage x="-1"/>
        <fieldUsage x="2"/>
      </fieldsUsage>
    </cacheHierarchy>
    <cacheHierarchy uniqueName="[Table1].[Date (Month)]" caption="Date (Month)" attribute="1" defaultMemberUniqueName="[Table1].[Date (Month)].[All]" allUniqueName="[Table1].[Date (Month)].[All]" dimensionUniqueName="[Table1]" displayFolder="" count="2" memberValueDatatype="130" unbalanced="0">
      <fieldsUsage count="2">
        <fieldUsage x="-1"/>
        <fieldUsage x="1"/>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9"/>
        </ext>
      </extLst>
    </cacheHierarchy>
    <cacheHierarchy uniqueName="[Measures].[Sum of Total Sale]" caption="Sum of Total Sale" measure="1" displayFolder="" measureGroup="Table1"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Product Name]" caption="Count of Product Name" measure="1" displayFolder="" measureGroup="Table1" count="0" hidden="1">
      <extLst>
        <ext xmlns:x15="http://schemas.microsoft.com/office/spreadsheetml/2010/11/main" uri="{B97F6D7D-B522-45F9-BDA1-12C45D357490}">
          <x15:cacheHierarchy aggregatedColumn="1"/>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5"/>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 refreshedDate="46035.89131550926" backgroundQuery="1" createdVersion="7" refreshedVersion="7" minRefreshableVersion="3" recordCount="0" supportSubquery="1" supportAdvancedDrill="1" xr:uid="{21C29D12-D31A-40B6-A9D1-414A201B4DE4}">
  <cacheSource type="external" connectionId="1"/>
  <cacheFields count="1">
    <cacheField name="[Table1].[Customer Type].[Customer Type]" caption="Customer Type" numFmtId="0" hierarchy="13" level="1">
      <sharedItems containsSemiMixedTypes="0" containsNonDate="0" containsString="0"/>
    </cacheField>
  </cacheFields>
  <cacheHierarchies count="23">
    <cacheHierarchy uniqueName="[Table1].[Date]" caption="Date" attribute="1" time="1" defaultMemberUniqueName="[Table1].[Date].[All]" allUniqueName="[Table1].[Date].[All]" dimensionUniqueName="[Table1]" displayFolder="" count="0" memberValueDatatype="7"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ales Representative]" caption="Sales Representative" attribute="1" defaultMemberUniqueName="[Table1].[Sales Representative].[All]" allUniqueName="[Table1].[Sales Representativ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Total Sale]" caption="Total Sale" attribute="1" defaultMemberUniqueName="[Table1].[Total Sale].[All]" allUniqueName="[Table1].[Total Sale].[All]" dimensionUniqueName="[Table1]" displayFolder="" count="0" memberValueDatatype="5" unbalanced="0"/>
    <cacheHierarchy uniqueName="[Table1].[Cost Price]" caption="Cost Price" attribute="1" defaultMemberUniqueName="[Table1].[Cost Price].[All]" allUniqueName="[Table1].[Cos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2"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Region Manager]" caption="Region Manager" attribute="1" defaultMemberUniqueName="[Table1].[Region Manager].[All]" allUniqueName="[Table1].[Region Manager].[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2" memberValueDatatype="130" unbalanced="0">
      <fieldsUsage count="2">
        <fieldUsage x="-1"/>
        <fieldUsage x="0"/>
      </fieldsUsage>
    </cacheHierarchy>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9"/>
        </ext>
      </extLst>
    </cacheHierarchy>
    <cacheHierarchy uniqueName="[Measures].[Sum of Total Sale]" caption="Sum of Total Sale" measure="1" displayFolder="" measureGroup="Table1" count="0" hidden="1">
      <extLst>
        <ext xmlns:x15="http://schemas.microsoft.com/office/spreadsheetml/2010/11/main" uri="{B97F6D7D-B522-45F9-BDA1-12C45D357490}">
          <x15:cacheHierarchy aggregatedColumn="7"/>
        </ext>
      </extLst>
    </cacheHierarchy>
    <cacheHierarchy uniqueName="[Measures].[Count of Product Name]" caption="Count of Product Name" measure="1" displayFolder="" measureGroup="Table1" count="0" hidden="1">
      <extLst>
        <ext xmlns:x15="http://schemas.microsoft.com/office/spreadsheetml/2010/11/main" uri="{B97F6D7D-B522-45F9-BDA1-12C45D357490}">
          <x15:cacheHierarchy aggregatedColumn="1"/>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5"/>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 refreshedDate="46035.891316203706" backgroundQuery="1" createdVersion="7" refreshedVersion="7" minRefreshableVersion="3" recordCount="0" supportSubquery="1" supportAdvancedDrill="1" xr:uid="{FCE92F66-FFCC-43C1-AE5F-28BC0803A518}">
  <cacheSource type="external" connectionId="1"/>
  <cacheFields count="3">
    <cacheField name="[Table1].[Region].[Region]" caption="Region" numFmtId="0" hierarchy="4" level="1">
      <sharedItems count="4">
        <s v="East"/>
        <s v="North"/>
        <s v="South"/>
        <s v="West"/>
      </sharedItems>
    </cacheField>
    <cacheField name="[Measures].[Sum of Profit]" caption="Sum of Profit" numFmtId="0" hierarchy="18" level="32767"/>
    <cacheField name="[Table1].[Customer Type].[Customer Type]" caption="Customer Type" numFmtId="0" hierarchy="13" level="1">
      <sharedItems containsSemiMixedTypes="0" containsNonDate="0" containsString="0"/>
    </cacheField>
  </cacheFields>
  <cacheHierarchies count="23">
    <cacheHierarchy uniqueName="[Table1].[Date]" caption="Date" attribute="1" time="1" defaultMemberUniqueName="[Table1].[Date].[All]" allUniqueName="[Table1].[Date].[All]" dimensionUniqueName="[Table1]" displayFolder="" count="0" memberValueDatatype="7"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ales Representative]" caption="Sales Representative" attribute="1" defaultMemberUniqueName="[Table1].[Sales Representative].[All]" allUniqueName="[Table1].[Sales Representativ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0"/>
      </fieldsUsage>
    </cacheHierarchy>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Total Sale]" caption="Total Sale" attribute="1" defaultMemberUniqueName="[Table1].[Total Sale].[All]" allUniqueName="[Table1].[Total Sale].[All]" dimensionUniqueName="[Table1]" displayFolder="" count="0" memberValueDatatype="5" unbalanced="0"/>
    <cacheHierarchy uniqueName="[Table1].[Cost Price]" caption="Cost Price" attribute="1" defaultMemberUniqueName="[Table1].[Cost Price].[All]" allUniqueName="[Table1].[Cos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2"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Region Manager]" caption="Region Manager" attribute="1" defaultMemberUniqueName="[Table1].[Region Manager].[All]" allUniqueName="[Table1].[Region Manager].[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2" memberValueDatatype="130" unbalanced="0">
      <fieldsUsage count="2">
        <fieldUsage x="-1"/>
        <fieldUsage x="2"/>
      </fieldsUsage>
    </cacheHierarchy>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Total Sale]" caption="Sum of Total Sale" measure="1" displayFolder="" measureGroup="Table1" count="0" hidden="1">
      <extLst>
        <ext xmlns:x15="http://schemas.microsoft.com/office/spreadsheetml/2010/11/main" uri="{B97F6D7D-B522-45F9-BDA1-12C45D357490}">
          <x15:cacheHierarchy aggregatedColumn="7"/>
        </ext>
      </extLst>
    </cacheHierarchy>
    <cacheHierarchy uniqueName="[Measures].[Count of Product Name]" caption="Count of Product Name" measure="1" displayFolder="" measureGroup="Table1" count="0" hidden="1">
      <extLst>
        <ext xmlns:x15="http://schemas.microsoft.com/office/spreadsheetml/2010/11/main" uri="{B97F6D7D-B522-45F9-BDA1-12C45D357490}">
          <x15:cacheHierarchy aggregatedColumn="1"/>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5"/>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o" refreshedDate="46031.873373495371" backgroundQuery="1" createdVersion="3" refreshedVersion="7" minRefreshableVersion="3" recordCount="0" supportSubquery="1" supportAdvancedDrill="1" xr:uid="{FF82C6EE-6C37-4D7E-AF38-B44ECF3E2E59}">
  <cacheSource type="external" connectionId="1">
    <extLst>
      <ext xmlns:x14="http://schemas.microsoft.com/office/spreadsheetml/2009/9/main" uri="{F057638F-6D5F-4e77-A914-E7F072B9BCA8}">
        <x14:sourceConnection name="ThisWorkbookDataModel"/>
      </ext>
    </extLst>
  </cacheSource>
  <cacheFields count="0"/>
  <cacheHierarchies count="23">
    <cacheHierarchy uniqueName="[Table1].[Date]" caption="Date" attribute="1" time="1" defaultMemberUniqueName="[Table1].[Date].[All]" allUniqueName="[Table1].[Date].[All]" dimensionUniqueName="[Table1]" displayFolder="" count="0" memberValueDatatype="7" unbalanced="0"/>
    <cacheHierarchy uniqueName="[Table1].[Product Name]" caption="Product Name" attribute="1" defaultMemberUniqueName="[Table1].[Product Name].[All]" allUniqueName="[Table1].[Product 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ales Representative]" caption="Sales Representative" attribute="1" defaultMemberUniqueName="[Table1].[Sales Representative].[All]" allUniqueName="[Table1].[Sales Representativ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Quantity Sold]" caption="Quantity Sold" attribute="1" defaultMemberUniqueName="[Table1].[Quantity Sold].[All]" allUniqueName="[Table1].[Quantity Sold].[All]" dimensionUniqueName="[Table1]" displayFolder="" count="0" memberValueDatatype="20" unbalanced="0"/>
    <cacheHierarchy uniqueName="[Table1].[Unit Price]" caption="Unit Price" attribute="1" defaultMemberUniqueName="[Table1].[Unit Price].[All]" allUniqueName="[Table1].[Unit Price].[All]" dimensionUniqueName="[Table1]" displayFolder="" count="0" memberValueDatatype="5" unbalanced="0"/>
    <cacheHierarchy uniqueName="[Table1].[Total Sale]" caption="Total Sale" attribute="1" defaultMemberUniqueName="[Table1].[Total Sale].[All]" allUniqueName="[Table1].[Total Sale].[All]" dimensionUniqueName="[Table1]" displayFolder="" count="0" memberValueDatatype="5" unbalanced="0"/>
    <cacheHierarchy uniqueName="[Table1].[Cost Price]" caption="Cost Price" attribute="1" defaultMemberUniqueName="[Table1].[Cost Price].[All]" allUniqueName="[Table1].[Cost Price].[All]" dimensionUniqueName="[Table1]" displayFolder="" count="0" memberValueDatatype="5" unbalanced="0"/>
    <cacheHierarchy uniqueName="[Table1].[Profit]" caption="Profit" attribute="1" defaultMemberUniqueName="[Table1].[Profit].[All]" allUniqueName="[Table1].[Profit].[All]" dimensionUniqueName="[Table1]" displayFolder="" count="0" memberValueDatatype="5" unbalanced="0"/>
    <cacheHierarchy uniqueName="[Table1].[Payment Method]" caption="Payment Method" attribute="1" defaultMemberUniqueName="[Table1].[Payment Method].[All]" allUniqueName="[Table1].[Payment Method].[All]" dimensionUniqueName="[Table1]" displayFolder="" count="2" memberValueDatatype="130" unbalanced="0"/>
    <cacheHierarchy uniqueName="[Table1].[Order Status]" caption="Order Status" attribute="1" defaultMemberUniqueName="[Table1].[Order Status].[All]" allUniqueName="[Table1].[Order Status].[All]" dimensionUniqueName="[Table1]" displayFolder="" count="0" memberValueDatatype="130" unbalanced="0"/>
    <cacheHierarchy uniqueName="[Table1].[Region Manager]" caption="Region Manager" attribute="1" defaultMemberUniqueName="[Table1].[Region Manager].[All]" allUniqueName="[Table1].[Region Manager].[All]" dimensionUniqueName="[Table1]" displayFolder="" count="0" memberValueDatatype="130" unbalanced="0"/>
    <cacheHierarchy uniqueName="[Table1].[Customer Type]" caption="Customer Type" attribute="1" defaultMemberUniqueName="[Table1].[Customer Type].[All]" allUniqueName="[Table1].[Customer Type].[All]" dimensionUniqueName="[Table1]" displayFolder="" count="2"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9"/>
        </ext>
      </extLst>
    </cacheHierarchy>
    <cacheHierarchy uniqueName="[Measures].[Sum of Total Sale]" caption="Sum of Total Sale" measure="1" displayFolder="" measureGroup="Table1" count="0" hidden="1">
      <extLst>
        <ext xmlns:x15="http://schemas.microsoft.com/office/spreadsheetml/2010/11/main" uri="{B97F6D7D-B522-45F9-BDA1-12C45D357490}">
          <x15:cacheHierarchy aggregatedColumn="7"/>
        </ext>
      </extLst>
    </cacheHierarchy>
    <cacheHierarchy uniqueName="[Measures].[Count of Product Name]" caption="Count of Product Name" measure="1" displayFolder="" measureGroup="Table1" count="0" hidden="1">
      <extLst>
        <ext xmlns:x15="http://schemas.microsoft.com/office/spreadsheetml/2010/11/main" uri="{B97F6D7D-B522-45F9-BDA1-12C45D357490}">
          <x15:cacheHierarchy aggregatedColumn="1"/>
        </ext>
      </extLst>
    </cacheHierarchy>
    <cacheHierarchy uniqueName="[Measures].[Sum of Quantity Sold]" caption="Sum of Quantity Sold" measure="1" displayFolder="" measureGroup="Table1" count="0" hidden="1">
      <extLst>
        <ext xmlns:x15="http://schemas.microsoft.com/office/spreadsheetml/2010/11/main" uri="{B97F6D7D-B522-45F9-BDA1-12C45D357490}">
          <x15:cacheHierarchy aggregatedColumn="5"/>
        </ext>
      </extLst>
    </cacheHierarchy>
    <cacheHierarchy uniqueName="[Measures].[Sum of Unit Price]" caption="Sum of Unit Price" measure="1" displayFolder="" measureGroup="Table1"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35877931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C04EFE-D67A-43F2-8698-B652440AB42A}" name="PivotTable6" cacheId="0" applyNumberFormats="0" applyBorderFormats="0" applyFontFormats="0" applyPatternFormats="0" applyAlignmentFormats="0" applyWidthHeightFormats="1" dataCaption="Values" tag="087f020b-53b1-4c4f-a294-3d40c1caf89f" updatedVersion="7" minRefreshableVersion="3" useAutoFormatting="1" subtotalHiddenItems="1" itemPrintTitles="1" createdVersion="7" indent="0" outline="1" outlineData="1" multipleFieldFilters="0" chartFormat="10">
  <location ref="O2:P8" firstHeaderRow="1" firstDataRow="1" firstDataCol="1"/>
  <pivotFields count="3">
    <pivotField dataField="1" subtotalTop="0" showAll="0" defaultSubtotal="0"/>
    <pivotField axis="axisRow" allDrilled="1" subtotalTop="0" showAll="0" dataSourceSort="1" defaultSubtotal="0" defaultAttributeDrillState="1">
      <items count="5">
        <item x="0"/>
        <item x="1"/>
        <item n="Charlie"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Total Sale" fld="0" baseField="0" baseItem="0"/>
  </dataFields>
  <formats count="9">
    <format dxfId="8">
      <pivotArea type="all" dataOnly="0" outline="0" fieldPosition="0"/>
    </format>
    <format dxfId="7">
      <pivotArea outline="0" collapsedLevelsAreSubtotals="1"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dataOnly="0" labelOnly="1" grandRow="1" outline="0" fieldPosition="0"/>
    </format>
    <format dxfId="2">
      <pivotArea dataOnly="0" labelOnly="1" outline="0" axis="axisValues" fieldPosition="0"/>
    </format>
    <format dxfId="1">
      <pivotArea dataOnly="0" labelOnly="1" grandRow="1" outline="0" fieldPosition="0"/>
    </format>
    <format dxfId="0">
      <pivotArea outline="0" collapsedLevelsAreSubtotals="1" fieldPosition="0"/>
    </format>
  </formats>
  <chartFormats count="1">
    <chartFormat chart="9" format="4"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tab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0CE661-7FC9-46F7-A22D-8F07426B2EB3}" name="PivotTable4" cacheId="4" applyNumberFormats="0" applyBorderFormats="0" applyFontFormats="0" applyPatternFormats="0" applyAlignmentFormats="0" applyWidthHeightFormats="1" dataCaption="Values" tag="1116156d-13e9-4847-8576-ccc9072d89fb" updatedVersion="7" minRefreshableVersion="3" useAutoFormatting="1" subtotalHiddenItems="1" itemPrintTitles="1" createdVersion="7" indent="0" outline="1" outlineData="1" multipleFieldFilters="0" chartFormat="10">
  <location ref="R2:T6" firstHeaderRow="0" firstDataRow="1" firstDataCol="1"/>
  <pivotFields count="4">
    <pivotField dataField="1" subtotalTop="0" showAll="0" defaultSubtotal="0"/>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Fields count="1">
    <field x="-2"/>
  </colFields>
  <colItems count="2">
    <i>
      <x/>
    </i>
    <i i="1">
      <x v="1"/>
    </i>
  </colItems>
  <dataFields count="2">
    <dataField name="Count of Product Name" fld="0" subtotal="count" baseField="0" baseItem="0"/>
    <dataField name="Sum of Quantity Sold" fld="2" baseField="0" baseItem="0"/>
  </dataFields>
  <formats count="9">
    <format dxfId="17">
      <pivotArea type="all" dataOnly="0" outline="0" fieldPosition="0"/>
    </format>
    <format dxfId="16">
      <pivotArea outline="0" collapsedLevelsAreSubtotals="1" fieldPosition="0"/>
    </format>
    <format dxfId="15">
      <pivotArea dataOnly="0" labelOnly="1" outline="0" axis="axisValues" fieldPosition="0"/>
    </format>
    <format dxfId="14">
      <pivotArea type="all" dataOnly="0" outline="0" fieldPosition="0"/>
    </format>
    <format dxfId="13">
      <pivotArea outline="0" collapsedLevelsAreSubtotals="1" fieldPosition="0"/>
    </format>
    <format dxfId="12">
      <pivotArea dataOnly="0" labelOnly="1" grandRow="1" outline="0" fieldPosition="0"/>
    </format>
    <format dxfId="11">
      <pivotArea dataOnly="0" labelOnly="1" outline="0" axis="axisValues" fieldPosition="0"/>
    </format>
    <format dxfId="10">
      <pivotArea dataOnly="0" labelOnly="1" grandRow="1" outline="0" fieldPosition="0"/>
    </format>
    <format dxfId="9">
      <pivotArea outline="0" collapsedLevelsAreSubtotals="1" fieldPosition="0"/>
    </format>
  </formats>
  <pivotHierarchies count="2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tab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DBA2B8-AEA6-4251-BC7D-27F1C5F8C5B3}" name="PivotTable3" cacheId="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0">
  <location ref="H2:I7"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Total Sale" fld="0" baseField="0" baseItem="0"/>
  </dataFields>
  <formats count="9">
    <format dxfId="26">
      <pivotArea type="all" dataOnly="0" outline="0" fieldPosition="0"/>
    </format>
    <format dxfId="25">
      <pivotArea outline="0" collapsedLevelsAreSubtotals="1"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dataOnly="0" labelOnly="1" grandRow="1" outline="0" fieldPosition="0"/>
    </format>
    <format dxfId="20">
      <pivotArea dataOnly="0" labelOnly="1" outline="0" axis="axisValues" fieldPosition="0"/>
    </format>
    <format dxfId="19">
      <pivotArea dataOnly="0" labelOnly="1" grandRow="1" outline="0" fieldPosition="0"/>
    </format>
    <format dxfId="18">
      <pivotArea outline="0" collapsedLevelsAreSubtotals="1" fieldPosition="0"/>
    </format>
  </formats>
  <chartFormats count="1">
    <chartFormat chart="9" format="4"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tab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1C24F0-B305-4C4D-B4A1-150E3600BBBD}" name="PivotTable2" cacheId="2" applyNumberFormats="0" applyBorderFormats="0" applyFontFormats="0" applyPatternFormats="0" applyAlignmentFormats="0" applyWidthHeightFormats="1" dataCaption="Values" tag="deba0f8a-b1c2-4aaa-82dd-c84b64a9a686" updatedVersion="7" minRefreshableVersion="3" useAutoFormatting="1" subtotalHiddenItems="1" itemPrintTitles="1" createdVersion="7" indent="0" outline="1" outlineData="1" multipleFieldFilters="0" chartFormat="14">
  <location ref="E2:F7"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Total Sale" fld="0" baseField="0" baseItem="0"/>
  </dataFields>
  <formats count="9">
    <format dxfId="35">
      <pivotArea type="all" dataOnly="0" outline="0" fieldPosition="0"/>
    </format>
    <format dxfId="34">
      <pivotArea outline="0" collapsedLevelsAreSubtotals="1" fieldPosition="0"/>
    </format>
    <format dxfId="33">
      <pivotArea dataOnly="0" labelOnly="1" outline="0" axis="axisValues" fieldPosition="0"/>
    </format>
    <format dxfId="32">
      <pivotArea type="all" dataOnly="0" outline="0" fieldPosition="0"/>
    </format>
    <format dxfId="31">
      <pivotArea outline="0" collapsedLevelsAreSubtotals="1" fieldPosition="0"/>
    </format>
    <format dxfId="30">
      <pivotArea dataOnly="0" labelOnly="1" grandRow="1" outline="0" fieldPosition="0"/>
    </format>
    <format dxfId="29">
      <pivotArea dataOnly="0" labelOnly="1" outline="0" axis="axisValues" fieldPosition="0"/>
    </format>
    <format dxfId="28">
      <pivotArea dataOnly="0" labelOnly="1" grandRow="1" outline="0" fieldPosition="0"/>
    </format>
    <format dxfId="27">
      <pivotArea outline="0" collapsedLevelsAreSubtotals="1" fieldPosition="0"/>
    </format>
  </formats>
  <chartFormats count="1">
    <chartFormat chart="9" format="4"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tab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07F4CC-82C7-4E51-A8B3-566A922418A6}" name="PivotTable1" cacheId="1" applyNumberFormats="0" applyBorderFormats="0" applyFontFormats="0" applyPatternFormats="0" applyAlignmentFormats="0" applyWidthHeightFormats="1" dataCaption="Values" tag="c2c7b8f8-0a75-4024-84a9-f20bcecdcbf6" updatedVersion="7" minRefreshableVersion="3" useAutoFormatting="1" subtotalHiddenItems="1" itemPrintTitles="1" createdVersion="7" indent="0" outline="1" outlineData="1" multipleFieldFilters="0">
  <location ref="A18:B24"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Total Sale" fld="1" baseField="0" baseItem="0"/>
  </dataFields>
  <formats count="9">
    <format dxfId="44">
      <pivotArea type="all" dataOnly="0" outline="0" fieldPosition="0"/>
    </format>
    <format dxfId="43">
      <pivotArea outline="0" collapsedLevelsAreSubtotals="1"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dataOnly="0" labelOnly="1" grandRow="1" outline="0" fieldPosition="0"/>
    </format>
    <format dxfId="38">
      <pivotArea dataOnly="0" labelOnly="1" outline="0" axis="axisValues" fieldPosition="0"/>
    </format>
    <format dxfId="37">
      <pivotArea dataOnly="0" labelOnly="1" grandRow="1" outline="0" fieldPosition="0"/>
    </format>
    <format dxfId="36">
      <pivotArea outline="0" collapsedLevelsAreSubtotals="1" fieldPosition="0"/>
    </format>
  </formats>
  <pivotHierarchies count="2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tab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9B94AB-A6AA-4D3B-B194-E349C0AC944E}" name="Profit For Regions" cacheId="7" applyNumberFormats="0" applyBorderFormats="0" applyFontFormats="0" applyPatternFormats="0" applyAlignmentFormats="0" applyWidthHeightFormats="1" dataCaption="Values" tag="f502ebe2-5d34-4ab9-85f1-269374344574" updatedVersion="7" minRefreshableVersion="3" useAutoFormatting="1" subtotalHiddenItems="1" itemPrintTitles="1" createdVersion="7" indent="0" outline="1" outlineData="1" multipleFieldFilters="0">
  <location ref="A2:B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Profit" fld="1" baseField="0" baseItem="0" numFmtId="165"/>
  </dataFields>
  <formats count="13">
    <format dxfId="57">
      <pivotArea type="all" dataOnly="0" outline="0" fieldPosition="0"/>
    </format>
    <format dxfId="56">
      <pivotArea outline="0" collapsedLevelsAreSubtotals="1" fieldPosition="0"/>
    </format>
    <format dxfId="55">
      <pivotArea dataOnly="0" labelOnly="1" outline="0" axis="axisValues" fieldPosition="0"/>
    </format>
    <format dxfId="54">
      <pivotArea type="all" dataOnly="0" outline="0" fieldPosition="0"/>
    </format>
    <format dxfId="53">
      <pivotArea outline="0" collapsedLevelsAreSubtotals="1" fieldPosition="0"/>
    </format>
    <format dxfId="52">
      <pivotArea field="0" type="button" dataOnly="0" labelOnly="1" outline="0" axis="axisRow" fieldPosition="0"/>
    </format>
    <format dxfId="51">
      <pivotArea dataOnly="0" labelOnly="1" fieldPosition="0">
        <references count="1">
          <reference field="0" count="0"/>
        </references>
      </pivotArea>
    </format>
    <format dxfId="50">
      <pivotArea dataOnly="0" labelOnly="1" grandRow="1" outline="0" fieldPosition="0"/>
    </format>
    <format dxfId="49">
      <pivotArea dataOnly="0" labelOnly="1" outline="0" axis="axisValues" fieldPosition="0"/>
    </format>
    <format dxfId="48">
      <pivotArea field="0" type="button" dataOnly="0" labelOnly="1" outline="0" axis="axisRow" fieldPosition="0"/>
    </format>
    <format dxfId="47">
      <pivotArea dataOnly="0" labelOnly="1" fieldPosition="0">
        <references count="1">
          <reference field="0" count="0"/>
        </references>
      </pivotArea>
    </format>
    <format dxfId="46">
      <pivotArea dataOnly="0" labelOnly="1" grandRow="1" outline="0" fieldPosition="0"/>
    </format>
    <format dxfId="45">
      <pivotArea outline="0" collapsedLevelsAreSubtotals="1" fieldPosition="0"/>
    </format>
  </formats>
  <pivotHierarchies count="2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tab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E68386-CBAF-4555-A9A7-588C6FBBDAA6}" name="PivotTable7" cacheId="6" applyNumberFormats="0" applyBorderFormats="0" applyFontFormats="0" applyPatternFormats="0" applyAlignmentFormats="0" applyWidthHeightFormats="1" dataCaption="Values" tag="e57d1a28-4b1f-4ad9-92ff-d9a364c66974" updatedVersion="7" minRefreshableVersion="3" useAutoFormatting="1" subtotalHiddenItems="1" itemPrintTitles="1" createdVersion="7" indent="0" outline="1" outlineData="1" multipleFieldFilters="0" chartFormat="14">
  <location ref="S16:U33" firstHeaderRow="1" firstDataRow="1" firstDataCol="0"/>
  <pivotFields count="1">
    <pivotField allDrilled="1" subtotalTop="0" showAll="0" dataSourceSort="1" defaultSubtotal="0" defaultAttributeDrillState="1"/>
  </pivotFields>
  <formats count="9">
    <format dxfId="66">
      <pivotArea type="all" dataOnly="0" outline="0" fieldPosition="0"/>
    </format>
    <format dxfId="65">
      <pivotArea outline="0" collapsedLevelsAreSubtotals="1" fieldPosition="0"/>
    </format>
    <format dxfId="64">
      <pivotArea dataOnly="0" labelOnly="1" outline="0" axis="axisValues" fieldPosition="0"/>
    </format>
    <format dxfId="63">
      <pivotArea type="all" dataOnly="0" outline="0" fieldPosition="0"/>
    </format>
    <format dxfId="62">
      <pivotArea outline="0" collapsedLevelsAreSubtotals="1" fieldPosition="0"/>
    </format>
    <format dxfId="61">
      <pivotArea dataOnly="0" labelOnly="1" grandRow="1" outline="0" fieldPosition="0"/>
    </format>
    <format dxfId="60">
      <pivotArea dataOnly="0" labelOnly="1" outline="0" axis="axisValues" fieldPosition="0"/>
    </format>
    <format dxfId="59">
      <pivotArea dataOnly="0" labelOnly="1" grandRow="1" outline="0" fieldPosition="0"/>
    </format>
    <format dxfId="58">
      <pivotArea outline="0" collapsedLevelsAreSubtotals="1" fieldPosition="0"/>
    </format>
  </formats>
  <pivotHierarchies count="2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tab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7F53FC0-3065-4CBE-833A-EA7D9ACA26D8}" name="PivotTable5" cacheId="5" applyNumberFormats="0" applyBorderFormats="0" applyFontFormats="0" applyPatternFormats="0" applyAlignmentFormats="0" applyWidthHeightFormats="1" dataCaption="Values" tag="885cbe2e-0c3d-4de0-b9f1-d57ffb48071c" updatedVersion="7" minRefreshableVersion="3" useAutoFormatting="1" subtotalHiddenItems="1" itemPrintTitles="1" createdVersion="7" indent="0" outline="1" outlineData="1" multipleFieldFilters="0" chartFormat="14">
  <location ref="L2:M15" firstHeaderRow="1" firstDataRow="1" firstDataCol="1"/>
  <pivotFields count="3">
    <pivotField dataField="1" subtotalTop="0" showAll="0" defaultSubtotal="0"/>
    <pivotField axis="axisRow" allDrilled="1" subtotalTop="0" showAll="0" dataSourceSort="1" defaultSubtotal="0">
      <items count="12">
        <item x="0" e="0"/>
        <item x="1" e="0"/>
        <item x="2" e="0"/>
        <item x="3" e="0"/>
        <item x="4" e="0"/>
        <item x="5" e="0"/>
        <item x="6" e="0"/>
        <item x="7" e="0"/>
        <item x="8" e="0"/>
        <item x="9" e="0"/>
        <item x="10" e="0"/>
        <item x="11" e="0"/>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Total Sale" fld="0" baseField="0" baseItem="0"/>
  </dataFields>
  <formats count="9">
    <format dxfId="75">
      <pivotArea type="all" dataOnly="0" outline="0" fieldPosition="0"/>
    </format>
    <format dxfId="74">
      <pivotArea outline="0" collapsedLevelsAreSubtotals="1" fieldPosition="0"/>
    </format>
    <format dxfId="73">
      <pivotArea dataOnly="0" labelOnly="1" outline="0" axis="axisValues" fieldPosition="0"/>
    </format>
    <format dxfId="72">
      <pivotArea type="all" dataOnly="0" outline="0" fieldPosition="0"/>
    </format>
    <format dxfId="71">
      <pivotArea outline="0" collapsedLevelsAreSubtotals="1" fieldPosition="0"/>
    </format>
    <format dxfId="70">
      <pivotArea dataOnly="0" labelOnly="1" grandRow="1" outline="0" fieldPosition="0"/>
    </format>
    <format dxfId="69">
      <pivotArea dataOnly="0" labelOnly="1" outline="0" axis="axisValues" fieldPosition="0"/>
    </format>
    <format dxfId="68">
      <pivotArea dataOnly="0" labelOnly="1" grandRow="1" outline="0" fieldPosition="0"/>
    </format>
    <format dxfId="67">
      <pivotArea outline="0" collapsedLevelsAreSubtotals="1" fieldPosition="0"/>
    </format>
  </formats>
  <chartFormats count="2">
    <chartFormat chart="9" format="4"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2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tabl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1E6AC078-C5BE-4683-87AD-5BEB6B5A419C}" sourceName="[Table1].[Payment Method]">
  <pivotTables>
    <pivotTable tabId="3" name="PivotTable6"/>
    <pivotTable tabId="3" name="PivotTable1"/>
    <pivotTable tabId="3" name="PivotTable2"/>
    <pivotTable tabId="3" name="PivotTable3"/>
    <pivotTable tabId="3" name="PivotTable4"/>
    <pivotTable tabId="3" name="PivotTable5"/>
    <pivotTable tabId="3" name="PivotTable7"/>
    <pivotTable tabId="3" name="Profit For Regions"/>
  </pivotTables>
  <data>
    <olap pivotCacheId="358779319">
      <levels count="2">
        <level uniqueName="[Table1].[Payment Method].[(All)]" sourceCaption="(All)" count="0"/>
        <level uniqueName="[Table1].[Payment Method].[Payment Method]" sourceCaption="Payment Method" count="3">
          <ranges>
            <range startItem="0">
              <i n="[Table1].[Payment Method].&amp;[Cash]" c="Cash"/>
              <i n="[Table1].[Payment Method].&amp;[Credit Card]" c="Credit Card"/>
              <i n="[Table1].[Payment Method].&amp;[Online Transfer]" c="Online Transfer"/>
            </range>
          </ranges>
        </level>
      </levels>
      <selections count="1">
        <selection n="[Table1].[Payment Method].[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2871D5F-9CE2-4107-AADE-4BFC7C5EB773}" sourceName="[Table1].[Region]">
  <pivotTables>
    <pivotTable tabId="3" name="PivotTable6"/>
    <pivotTable tabId="3" name="PivotTable1"/>
    <pivotTable tabId="3" name="PivotTable2"/>
    <pivotTable tabId="3" name="PivotTable3"/>
    <pivotTable tabId="3" name="PivotTable4"/>
    <pivotTable tabId="3" name="PivotTable5"/>
    <pivotTable tabId="3" name="PivotTable7"/>
    <pivotTable tabId="3" name="Profit For Regions"/>
  </pivotTables>
  <data>
    <olap pivotCacheId="358779319">
      <levels count="2">
        <level uniqueName="[Table1].[Region].[(All)]" sourceCaption="(All)" count="0"/>
        <level uniqueName="[Table1].[Region].[Region]" sourceCaption="Region" count="4">
          <ranges>
            <range startItem="0">
              <i n="[Table1].[Region].&amp;[East]" c="East"/>
              <i n="[Table1].[Region].&amp;[North]" c="North"/>
              <i n="[Table1].[Region].&amp;[South]" c="South"/>
              <i n="[Table1].[Region].&amp;[West]" c="West"/>
            </range>
          </ranges>
        </level>
      </levels>
      <selections count="1">
        <selection n="[Table1].[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8CFAE97D-1114-481D-A22D-98309EE053F5}" sourceName="[Table1].[Customer Type]">
  <pivotTables>
    <pivotTable tabId="3" name="PivotTable6"/>
    <pivotTable tabId="3" name="PivotTable1"/>
    <pivotTable tabId="3" name="PivotTable2"/>
    <pivotTable tabId="3" name="PivotTable3"/>
    <pivotTable tabId="3" name="PivotTable4"/>
    <pivotTable tabId="3" name="PivotTable5"/>
    <pivotTable tabId="3" name="PivotTable7"/>
    <pivotTable tabId="3" name="Profit For Regions"/>
  </pivotTables>
  <data>
    <olap pivotCacheId="358779319">
      <levels count="2">
        <level uniqueName="[Table1].[Customer Type].[(All)]" sourceCaption="(All)" count="0"/>
        <level uniqueName="[Table1].[Customer Type].[Customer Type]" sourceCaption="Customer Type" count="3">
          <ranges>
            <range startItem="0">
              <i n="[Table1].[Customer Type].&amp;[New]" c="New"/>
              <i n="[Table1].[Customer Type].&amp;[Regular]" c="Regular"/>
              <i n="[Table1].[Customer Type].&amp;[VIP]" c="VIP"/>
            </range>
          </ranges>
        </level>
      </levels>
      <selections count="1">
        <selection n="[Table1].[Customer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B71FAD93-9999-4F60-B22C-FF5AB37D77B7}" cache="Slicer_Payment_Method" level="1" style="Slicer Style 2" rowHeight="241300"/>
  <slicer name="Region" xr10:uid="{499FF27B-1F81-4193-A2C9-BEAA86FC506D}" cache="Slicer_Region" level="1" style="Slicer Style 2" rowHeight="241300"/>
  <slicer name="Customer Type" xr10:uid="{05F14809-D9B8-4D61-9771-A030C8C24489}" cache="Slicer_Customer_Type" level="1" style="Slicer Styl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5066C4-B6B9-4200-B005-CD2B45F02E08}" name="Table1" displayName="Table1" ref="A4:N154" totalsRowShown="0" headerRowDxfId="91" dataDxfId="90">
  <autoFilter ref="A4:N154" xr:uid="{615066C4-B6B9-4200-B005-CD2B45F02E08}"/>
  <tableColumns count="14">
    <tableColumn id="1" xr3:uid="{F6648C7E-6F94-4E26-B08E-FA4CE1CEDC53}" name="Date" dataDxfId="89"/>
    <tableColumn id="2" xr3:uid="{B59B34EB-6415-4672-A30B-99B2E4C8D7C6}" name="Product Name" dataDxfId="88"/>
    <tableColumn id="3" xr3:uid="{C82AD272-75C3-4BD7-9DDE-3AD9CA95814C}" name="Category" dataDxfId="87"/>
    <tableColumn id="4" xr3:uid="{FAEC2DE0-B2EB-43CF-8077-B296EC720798}" name="Sales Representative" dataDxfId="86"/>
    <tableColumn id="5" xr3:uid="{F961F286-0916-40A7-8280-1BCB7F8E41B2}" name="Region" dataDxfId="85"/>
    <tableColumn id="6" xr3:uid="{321FFB97-873F-48B3-9C6B-38032C947064}" name="Quantity Sold" dataDxfId="84"/>
    <tableColumn id="7" xr3:uid="{2468D480-3E90-4D59-8394-89E36CFF4DAE}" name="Unit Price" dataDxfId="83"/>
    <tableColumn id="8" xr3:uid="{CC837F49-2931-4B67-A3FD-F922A6BF7182}" name="Total Sale" dataDxfId="82"/>
    <tableColumn id="9" xr3:uid="{D791F1AE-0213-46F6-9754-E0A75BF78E0A}" name="Cost Price" dataDxfId="81"/>
    <tableColumn id="10" xr3:uid="{A8B676B2-9A2A-4681-B1F3-0F1F7A495400}" name="Profit" dataDxfId="80"/>
    <tableColumn id="11" xr3:uid="{794AEAB0-B417-42CB-97BE-9552966ABC6C}" name="Payment Method" dataDxfId="79"/>
    <tableColumn id="12" xr3:uid="{58F7F500-BDFC-4CBE-B99D-AF240FC060DB}" name="Order Status" dataDxfId="78"/>
    <tableColumn id="13" xr3:uid="{4F04CDAA-95B3-4BD4-A14B-E327127DD8EA}" name="Region Manager" dataDxfId="77"/>
    <tableColumn id="14" xr3:uid="{62A0F8F1-5AEA-4062-9180-C61D4BEA6D58}" name="Customer Type" dataDxfId="7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1DFB0-4971-44EC-8746-1BED14ABA67C}">
  <dimension ref="A1"/>
  <sheetViews>
    <sheetView showGridLines="0" tabSelected="1" zoomScale="53" zoomScaleNormal="53" workbookViewId="0">
      <selection activeCell="AB10" sqref="AB10"/>
    </sheetView>
  </sheetViews>
  <sheetFormatPr defaultRowHeight="14.25"/>
  <cols>
    <col min="1" max="16384" width="9" style="3"/>
  </cols>
  <sheetData/>
  <pageMargins left="0.7" right="0.7" top="0.75" bottom="0.75" header="0.3" footer="0.3"/>
  <pageSetup paperSize="9" fitToWidth="0" fitToHeight="0"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2BC6C-74BD-4BF3-954A-E110503FBE73}">
  <dimension ref="A4:N154"/>
  <sheetViews>
    <sheetView zoomScale="82" zoomScaleNormal="82" workbookViewId="0">
      <selection activeCell="B2" sqref="B2"/>
    </sheetView>
  </sheetViews>
  <sheetFormatPr defaultColWidth="9.125" defaultRowHeight="20.25"/>
  <cols>
    <col min="1" max="1" width="19.875" style="1" bestFit="1" customWidth="1"/>
    <col min="2" max="2" width="36.375" style="1" bestFit="1" customWidth="1"/>
    <col min="3" max="3" width="27" style="1" bestFit="1" customWidth="1"/>
    <col min="4" max="4" width="48.25" style="1" bestFit="1" customWidth="1"/>
    <col min="5" max="5" width="23.875" style="1" customWidth="1"/>
    <col min="6" max="6" width="34.5" style="1" bestFit="1" customWidth="1"/>
    <col min="7" max="7" width="28.625" style="1" bestFit="1" customWidth="1"/>
    <col min="8" max="8" width="29.25" style="1" bestFit="1" customWidth="1"/>
    <col min="9" max="9" width="30.125" style="1" bestFit="1" customWidth="1"/>
    <col min="10" max="10" width="21.75" style="1" bestFit="1" customWidth="1"/>
    <col min="11" max="11" width="40.75" style="1" bestFit="1" customWidth="1"/>
    <col min="12" max="12" width="33.25" style="1" bestFit="1" customWidth="1"/>
    <col min="13" max="13" width="39.5" style="1" bestFit="1" customWidth="1"/>
    <col min="14" max="14" width="37.625" style="1" bestFit="1" customWidth="1"/>
    <col min="15" max="16384" width="9.125" style="1"/>
  </cols>
  <sheetData>
    <row r="4" spans="1:14" s="26" customFormat="1" ht="38.25" customHeight="1">
      <c r="A4" s="27" t="s">
        <v>0</v>
      </c>
      <c r="B4" s="28" t="s">
        <v>1</v>
      </c>
      <c r="C4" s="28" t="s">
        <v>2</v>
      </c>
      <c r="D4" s="29" t="s">
        <v>3</v>
      </c>
      <c r="E4" s="28" t="s">
        <v>4</v>
      </c>
      <c r="F4" s="28" t="s">
        <v>5</v>
      </c>
      <c r="G4" s="28" t="s">
        <v>6</v>
      </c>
      <c r="H4" s="28" t="s">
        <v>7</v>
      </c>
      <c r="I4" s="28" t="s">
        <v>8</v>
      </c>
      <c r="J4" s="28" t="s">
        <v>9</v>
      </c>
      <c r="K4" s="28" t="s">
        <v>10</v>
      </c>
      <c r="L4" s="28" t="s">
        <v>11</v>
      </c>
      <c r="M4" s="28" t="s">
        <v>12</v>
      </c>
      <c r="N4" s="28" t="s">
        <v>13</v>
      </c>
    </row>
    <row r="5" spans="1:14">
      <c r="A5" s="2">
        <v>45313</v>
      </c>
      <c r="B5" s="1" t="s">
        <v>14</v>
      </c>
      <c r="C5" s="1" t="s">
        <v>15</v>
      </c>
      <c r="D5" s="1" t="s">
        <v>16</v>
      </c>
      <c r="E5" s="1" t="s">
        <v>17</v>
      </c>
      <c r="F5" s="1">
        <v>1</v>
      </c>
      <c r="G5" s="1">
        <v>91.81</v>
      </c>
      <c r="H5" s="1">
        <v>91.81</v>
      </c>
      <c r="I5" s="1">
        <v>51.81</v>
      </c>
      <c r="J5" s="1">
        <v>40</v>
      </c>
      <c r="K5" s="1" t="s">
        <v>18</v>
      </c>
      <c r="L5" s="1" t="s">
        <v>19</v>
      </c>
      <c r="M5" s="1" t="s">
        <v>20</v>
      </c>
      <c r="N5" s="1" t="s">
        <v>21</v>
      </c>
    </row>
    <row r="6" spans="1:14">
      <c r="A6" s="2">
        <v>45571</v>
      </c>
      <c r="B6" s="1" t="s">
        <v>22</v>
      </c>
      <c r="C6" s="1" t="s">
        <v>15</v>
      </c>
      <c r="D6" s="1" t="s">
        <v>23</v>
      </c>
      <c r="E6" s="1" t="s">
        <v>24</v>
      </c>
      <c r="F6" s="1">
        <v>9</v>
      </c>
      <c r="G6" s="1">
        <v>462.17</v>
      </c>
      <c r="H6" s="1">
        <v>4159.53</v>
      </c>
      <c r="I6" s="1">
        <v>4099.53</v>
      </c>
      <c r="J6" s="1">
        <v>60</v>
      </c>
      <c r="K6" s="1" t="s">
        <v>25</v>
      </c>
      <c r="L6" s="1" t="s">
        <v>26</v>
      </c>
      <c r="M6" s="1" t="s">
        <v>27</v>
      </c>
      <c r="N6" s="1" t="s">
        <v>28</v>
      </c>
    </row>
    <row r="7" spans="1:14">
      <c r="A7" s="2">
        <v>45615</v>
      </c>
      <c r="B7" s="1" t="s">
        <v>29</v>
      </c>
      <c r="C7" s="1" t="s">
        <v>30</v>
      </c>
      <c r="D7" s="1" t="s">
        <v>23</v>
      </c>
      <c r="E7" s="1" t="s">
        <v>31</v>
      </c>
      <c r="F7" s="1">
        <v>7</v>
      </c>
      <c r="G7" s="1">
        <v>198.67</v>
      </c>
      <c r="H7" s="1">
        <v>1390.69</v>
      </c>
      <c r="I7" s="1">
        <v>1325.19</v>
      </c>
      <c r="J7" s="1">
        <v>65.5</v>
      </c>
      <c r="K7" s="1" t="s">
        <v>32</v>
      </c>
      <c r="L7" s="1" t="s">
        <v>33</v>
      </c>
      <c r="M7" s="1" t="s">
        <v>34</v>
      </c>
      <c r="N7" s="1" t="s">
        <v>35</v>
      </c>
    </row>
    <row r="8" spans="1:14">
      <c r="A8" s="2">
        <v>45530</v>
      </c>
      <c r="B8" s="1" t="s">
        <v>36</v>
      </c>
      <c r="C8" s="1" t="s">
        <v>15</v>
      </c>
      <c r="D8" s="1" t="s">
        <v>23</v>
      </c>
      <c r="E8" s="1" t="s">
        <v>31</v>
      </c>
      <c r="F8" s="1">
        <v>6</v>
      </c>
      <c r="G8" s="1">
        <v>125.67</v>
      </c>
      <c r="H8" s="1">
        <v>754.02</v>
      </c>
      <c r="I8" s="1">
        <v>705.02</v>
      </c>
      <c r="J8" s="1">
        <v>49</v>
      </c>
      <c r="K8" s="1" t="s">
        <v>18</v>
      </c>
      <c r="L8" s="1" t="s">
        <v>19</v>
      </c>
      <c r="M8" s="1" t="s">
        <v>37</v>
      </c>
      <c r="N8" s="1" t="s">
        <v>21</v>
      </c>
    </row>
    <row r="9" spans="1:14">
      <c r="A9" s="2">
        <v>45502</v>
      </c>
      <c r="B9" s="1" t="s">
        <v>38</v>
      </c>
      <c r="C9" s="1" t="s">
        <v>15</v>
      </c>
      <c r="D9" s="1" t="s">
        <v>23</v>
      </c>
      <c r="E9" s="1" t="s">
        <v>24</v>
      </c>
      <c r="F9" s="1">
        <v>5</v>
      </c>
      <c r="G9" s="1">
        <v>244.72</v>
      </c>
      <c r="H9" s="1">
        <v>1223.5999999999999</v>
      </c>
      <c r="I9" s="1">
        <v>1183.5999999999999</v>
      </c>
      <c r="J9" s="1">
        <v>40</v>
      </c>
      <c r="K9" s="1" t="s">
        <v>25</v>
      </c>
      <c r="L9" s="1" t="s">
        <v>26</v>
      </c>
      <c r="M9" s="1" t="s">
        <v>20</v>
      </c>
      <c r="N9" s="1" t="s">
        <v>28</v>
      </c>
    </row>
    <row r="10" spans="1:14">
      <c r="A10" s="2">
        <v>45633</v>
      </c>
      <c r="B10" s="1" t="s">
        <v>39</v>
      </c>
      <c r="C10" s="1" t="s">
        <v>40</v>
      </c>
      <c r="D10" s="1" t="s">
        <v>23</v>
      </c>
      <c r="E10" s="1" t="s">
        <v>24</v>
      </c>
      <c r="F10" s="1">
        <v>3</v>
      </c>
      <c r="G10" s="1">
        <v>117.66</v>
      </c>
      <c r="H10" s="1">
        <v>352.98</v>
      </c>
      <c r="I10" s="1">
        <v>292.98</v>
      </c>
      <c r="J10" s="1">
        <v>60</v>
      </c>
      <c r="K10" s="1" t="s">
        <v>32</v>
      </c>
      <c r="L10" s="1" t="s">
        <v>19</v>
      </c>
      <c r="M10" s="1" t="s">
        <v>27</v>
      </c>
      <c r="N10" s="1" t="s">
        <v>35</v>
      </c>
    </row>
    <row r="11" spans="1:14">
      <c r="A11" s="2">
        <v>45402</v>
      </c>
      <c r="B11" s="1" t="s">
        <v>41</v>
      </c>
      <c r="C11" s="1" t="s">
        <v>30</v>
      </c>
      <c r="D11" s="1" t="s">
        <v>42</v>
      </c>
      <c r="E11" s="1" t="s">
        <v>31</v>
      </c>
      <c r="F11" s="1">
        <v>5</v>
      </c>
      <c r="G11" s="1">
        <v>249.15</v>
      </c>
      <c r="H11" s="1">
        <v>1245.75</v>
      </c>
      <c r="I11" s="1">
        <v>1180.25</v>
      </c>
      <c r="J11" s="1">
        <v>65.5</v>
      </c>
      <c r="K11" s="1" t="s">
        <v>18</v>
      </c>
      <c r="L11" s="1" t="s">
        <v>33</v>
      </c>
      <c r="M11" s="1" t="s">
        <v>34</v>
      </c>
      <c r="N11" s="1" t="s">
        <v>21</v>
      </c>
    </row>
    <row r="12" spans="1:14">
      <c r="A12" s="2">
        <v>45614</v>
      </c>
      <c r="B12" s="1" t="s">
        <v>43</v>
      </c>
      <c r="C12" s="1" t="s">
        <v>44</v>
      </c>
      <c r="D12" s="1" t="s">
        <v>23</v>
      </c>
      <c r="E12" s="1" t="s">
        <v>24</v>
      </c>
      <c r="F12" s="1">
        <v>5</v>
      </c>
      <c r="G12" s="1">
        <v>337.68</v>
      </c>
      <c r="H12" s="1">
        <v>1688.4</v>
      </c>
      <c r="I12" s="1">
        <v>1639.4</v>
      </c>
      <c r="J12" s="1">
        <v>49</v>
      </c>
      <c r="K12" s="1" t="s">
        <v>25</v>
      </c>
      <c r="L12" s="1" t="s">
        <v>19</v>
      </c>
      <c r="M12" s="1" t="s">
        <v>37</v>
      </c>
      <c r="N12" s="1" t="s">
        <v>28</v>
      </c>
    </row>
    <row r="13" spans="1:14">
      <c r="A13" s="2">
        <v>45513</v>
      </c>
      <c r="B13" s="1" t="s">
        <v>45</v>
      </c>
      <c r="C13" s="1" t="s">
        <v>44</v>
      </c>
      <c r="D13" s="1" t="s">
        <v>42</v>
      </c>
      <c r="E13" s="1" t="s">
        <v>46</v>
      </c>
      <c r="F13" s="1">
        <v>5</v>
      </c>
      <c r="G13" s="1">
        <v>491.3</v>
      </c>
      <c r="H13" s="1">
        <v>2456.5</v>
      </c>
      <c r="I13" s="1">
        <v>2416.5</v>
      </c>
      <c r="J13" s="1">
        <v>40</v>
      </c>
      <c r="K13" s="1" t="s">
        <v>32</v>
      </c>
      <c r="L13" s="1" t="s">
        <v>26</v>
      </c>
      <c r="M13" s="1" t="s">
        <v>20</v>
      </c>
      <c r="N13" s="1" t="s">
        <v>35</v>
      </c>
    </row>
    <row r="14" spans="1:14">
      <c r="A14" s="2">
        <v>45597</v>
      </c>
      <c r="B14" s="1" t="s">
        <v>36</v>
      </c>
      <c r="C14" s="1" t="s">
        <v>15</v>
      </c>
      <c r="D14" s="1" t="s">
        <v>23</v>
      </c>
      <c r="E14" s="1" t="s">
        <v>31</v>
      </c>
      <c r="F14" s="1">
        <v>4</v>
      </c>
      <c r="G14" s="1">
        <v>394.42</v>
      </c>
      <c r="H14" s="1">
        <v>1577.68</v>
      </c>
      <c r="I14" s="1">
        <v>1517.68</v>
      </c>
      <c r="J14" s="1">
        <v>60</v>
      </c>
      <c r="K14" s="1" t="s">
        <v>18</v>
      </c>
      <c r="L14" s="1" t="s">
        <v>19</v>
      </c>
      <c r="M14" s="1" t="s">
        <v>27</v>
      </c>
      <c r="N14" s="1" t="s">
        <v>21</v>
      </c>
    </row>
    <row r="15" spans="1:14">
      <c r="A15" s="2">
        <v>45369</v>
      </c>
      <c r="B15" s="1" t="s">
        <v>47</v>
      </c>
      <c r="C15" s="1" t="s">
        <v>44</v>
      </c>
      <c r="D15" s="1" t="s">
        <v>16</v>
      </c>
      <c r="E15" s="1" t="s">
        <v>46</v>
      </c>
      <c r="F15" s="1">
        <v>2</v>
      </c>
      <c r="G15" s="1">
        <v>216.4</v>
      </c>
      <c r="H15" s="1">
        <v>432.8</v>
      </c>
      <c r="I15" s="1">
        <v>367.3</v>
      </c>
      <c r="J15" s="1">
        <v>65.5</v>
      </c>
      <c r="K15" s="1" t="s">
        <v>25</v>
      </c>
      <c r="L15" s="1" t="s">
        <v>26</v>
      </c>
      <c r="M15" s="1" t="s">
        <v>34</v>
      </c>
      <c r="N15" s="1" t="s">
        <v>28</v>
      </c>
    </row>
    <row r="16" spans="1:14">
      <c r="A16" s="2">
        <v>45318</v>
      </c>
      <c r="B16" s="1" t="s">
        <v>43</v>
      </c>
      <c r="C16" s="1" t="s">
        <v>44</v>
      </c>
      <c r="D16" s="1" t="s">
        <v>48</v>
      </c>
      <c r="E16" s="1" t="s">
        <v>31</v>
      </c>
      <c r="F16" s="1">
        <v>6</v>
      </c>
      <c r="G16" s="1">
        <v>457.22</v>
      </c>
      <c r="H16" s="1">
        <v>2743.32</v>
      </c>
      <c r="I16" s="1">
        <v>2694.32</v>
      </c>
      <c r="J16" s="1">
        <v>49</v>
      </c>
      <c r="K16" s="1" t="s">
        <v>32</v>
      </c>
      <c r="L16" s="1" t="s">
        <v>33</v>
      </c>
      <c r="M16" s="1" t="s">
        <v>37</v>
      </c>
      <c r="N16" s="1" t="s">
        <v>35</v>
      </c>
    </row>
    <row r="17" spans="1:14">
      <c r="A17" s="2">
        <v>45471</v>
      </c>
      <c r="B17" s="1" t="s">
        <v>14</v>
      </c>
      <c r="C17" s="1" t="s">
        <v>15</v>
      </c>
      <c r="D17" s="1" t="s">
        <v>42</v>
      </c>
      <c r="E17" s="1" t="s">
        <v>24</v>
      </c>
      <c r="F17" s="1">
        <v>8</v>
      </c>
      <c r="G17" s="1">
        <v>438.33</v>
      </c>
      <c r="H17" s="1">
        <v>3506.64</v>
      </c>
      <c r="I17" s="1">
        <v>3466.64</v>
      </c>
      <c r="J17" s="1">
        <v>40</v>
      </c>
      <c r="K17" s="1" t="s">
        <v>18</v>
      </c>
      <c r="L17" s="1" t="s">
        <v>19</v>
      </c>
      <c r="M17" s="1" t="s">
        <v>20</v>
      </c>
      <c r="N17" s="1" t="s">
        <v>21</v>
      </c>
    </row>
    <row r="18" spans="1:14">
      <c r="A18" s="2">
        <v>45587</v>
      </c>
      <c r="B18" s="1" t="s">
        <v>36</v>
      </c>
      <c r="C18" s="1" t="s">
        <v>15</v>
      </c>
      <c r="D18" s="1" t="s">
        <v>49</v>
      </c>
      <c r="E18" s="1" t="s">
        <v>31</v>
      </c>
      <c r="F18" s="1">
        <v>2</v>
      </c>
      <c r="G18" s="1">
        <v>56.98</v>
      </c>
      <c r="H18" s="1">
        <v>113.96</v>
      </c>
      <c r="I18" s="1">
        <v>53.959999999999994</v>
      </c>
      <c r="J18" s="1">
        <v>60</v>
      </c>
      <c r="K18" s="1" t="s">
        <v>25</v>
      </c>
      <c r="L18" s="1" t="s">
        <v>19</v>
      </c>
      <c r="M18" s="1" t="s">
        <v>27</v>
      </c>
      <c r="N18" s="1" t="s">
        <v>28</v>
      </c>
    </row>
    <row r="19" spans="1:14">
      <c r="A19" s="2">
        <v>45423</v>
      </c>
      <c r="B19" s="1" t="s">
        <v>47</v>
      </c>
      <c r="C19" s="1" t="s">
        <v>44</v>
      </c>
      <c r="D19" s="1" t="s">
        <v>49</v>
      </c>
      <c r="E19" s="1" t="s">
        <v>46</v>
      </c>
      <c r="F19" s="1">
        <v>1</v>
      </c>
      <c r="G19" s="1">
        <v>313.14</v>
      </c>
      <c r="H19" s="1">
        <v>313.14</v>
      </c>
      <c r="I19" s="1">
        <v>247.64</v>
      </c>
      <c r="J19" s="1">
        <v>65.5</v>
      </c>
      <c r="K19" s="1" t="s">
        <v>32</v>
      </c>
      <c r="L19" s="1" t="s">
        <v>33</v>
      </c>
      <c r="M19" s="1" t="s">
        <v>34</v>
      </c>
      <c r="N19" s="1" t="s">
        <v>35</v>
      </c>
    </row>
    <row r="20" spans="1:14">
      <c r="A20" s="2">
        <v>45322</v>
      </c>
      <c r="B20" s="1" t="s">
        <v>38</v>
      </c>
      <c r="C20" s="1" t="s">
        <v>15</v>
      </c>
      <c r="D20" s="1" t="s">
        <v>16</v>
      </c>
      <c r="E20" s="1" t="s">
        <v>24</v>
      </c>
      <c r="F20" s="1">
        <v>4</v>
      </c>
      <c r="G20" s="1">
        <v>53.03</v>
      </c>
      <c r="H20" s="1">
        <v>212.12</v>
      </c>
      <c r="I20" s="1">
        <v>163.12</v>
      </c>
      <c r="J20" s="1">
        <v>49</v>
      </c>
      <c r="K20" s="1" t="s">
        <v>18</v>
      </c>
      <c r="L20" s="1" t="s">
        <v>26</v>
      </c>
      <c r="M20" s="1" t="s">
        <v>37</v>
      </c>
      <c r="N20" s="1" t="s">
        <v>21</v>
      </c>
    </row>
    <row r="21" spans="1:14">
      <c r="A21" s="2">
        <v>45540</v>
      </c>
      <c r="B21" s="1" t="s">
        <v>50</v>
      </c>
      <c r="C21" s="1" t="s">
        <v>40</v>
      </c>
      <c r="D21" s="1" t="s">
        <v>42</v>
      </c>
      <c r="E21" s="1" t="s">
        <v>46</v>
      </c>
      <c r="F21" s="1">
        <v>10</v>
      </c>
      <c r="G21" s="1">
        <v>152.37</v>
      </c>
      <c r="H21" s="1">
        <v>1523.7</v>
      </c>
      <c r="I21" s="1">
        <v>1483.7</v>
      </c>
      <c r="J21" s="1">
        <v>40</v>
      </c>
      <c r="K21" s="1" t="s">
        <v>25</v>
      </c>
      <c r="L21" s="1" t="s">
        <v>19</v>
      </c>
      <c r="M21" s="1" t="s">
        <v>20</v>
      </c>
      <c r="N21" s="1" t="s">
        <v>28</v>
      </c>
    </row>
    <row r="22" spans="1:14">
      <c r="A22" s="2">
        <v>45461</v>
      </c>
      <c r="B22" s="1" t="s">
        <v>36</v>
      </c>
      <c r="C22" s="1" t="s">
        <v>15</v>
      </c>
      <c r="D22" s="1" t="s">
        <v>48</v>
      </c>
      <c r="E22" s="1" t="s">
        <v>46</v>
      </c>
      <c r="F22" s="1">
        <v>6</v>
      </c>
      <c r="G22" s="1">
        <v>132.59</v>
      </c>
      <c r="H22" s="1">
        <v>795.54</v>
      </c>
      <c r="I22" s="1">
        <v>735.54</v>
      </c>
      <c r="J22" s="1">
        <v>60</v>
      </c>
      <c r="K22" s="1" t="s">
        <v>32</v>
      </c>
      <c r="L22" s="1" t="s">
        <v>19</v>
      </c>
      <c r="M22" s="1" t="s">
        <v>27</v>
      </c>
      <c r="N22" s="1" t="s">
        <v>35</v>
      </c>
    </row>
    <row r="23" spans="1:14">
      <c r="A23" s="2">
        <v>45533</v>
      </c>
      <c r="B23" s="1" t="s">
        <v>41</v>
      </c>
      <c r="C23" s="1" t="s">
        <v>30</v>
      </c>
      <c r="D23" s="1" t="s">
        <v>49</v>
      </c>
      <c r="E23" s="1" t="s">
        <v>17</v>
      </c>
      <c r="F23" s="1">
        <v>5</v>
      </c>
      <c r="G23" s="1">
        <v>265.92</v>
      </c>
      <c r="H23" s="1">
        <v>1329.6</v>
      </c>
      <c r="I23" s="1">
        <v>1264.0999999999999</v>
      </c>
      <c r="J23" s="1">
        <v>65.5</v>
      </c>
      <c r="K23" s="1" t="s">
        <v>18</v>
      </c>
      <c r="L23" s="1" t="s">
        <v>26</v>
      </c>
      <c r="M23" s="1" t="s">
        <v>34</v>
      </c>
      <c r="N23" s="1" t="s">
        <v>21</v>
      </c>
    </row>
    <row r="24" spans="1:14">
      <c r="A24" s="2">
        <v>45461</v>
      </c>
      <c r="B24" s="1" t="s">
        <v>36</v>
      </c>
      <c r="C24" s="1" t="s">
        <v>15</v>
      </c>
      <c r="D24" s="1" t="s">
        <v>49</v>
      </c>
      <c r="E24" s="1" t="s">
        <v>46</v>
      </c>
      <c r="F24" s="1">
        <v>1</v>
      </c>
      <c r="G24" s="1">
        <v>492.81</v>
      </c>
      <c r="H24" s="1">
        <v>492.81</v>
      </c>
      <c r="I24" s="1">
        <v>443.81</v>
      </c>
      <c r="J24" s="1">
        <v>49</v>
      </c>
      <c r="K24" s="1" t="s">
        <v>25</v>
      </c>
      <c r="L24" s="1" t="s">
        <v>33</v>
      </c>
      <c r="M24" s="1" t="s">
        <v>37</v>
      </c>
      <c r="N24" s="1" t="s">
        <v>28</v>
      </c>
    </row>
    <row r="25" spans="1:14">
      <c r="A25" s="2">
        <v>45357</v>
      </c>
      <c r="B25" s="1" t="s">
        <v>38</v>
      </c>
      <c r="C25" s="1" t="s">
        <v>15</v>
      </c>
      <c r="D25" s="1" t="s">
        <v>49</v>
      </c>
      <c r="E25" s="1" t="s">
        <v>46</v>
      </c>
      <c r="F25" s="1">
        <v>1</v>
      </c>
      <c r="G25" s="1">
        <v>434.04</v>
      </c>
      <c r="H25" s="1">
        <v>434.04</v>
      </c>
      <c r="I25" s="1">
        <v>394.04</v>
      </c>
      <c r="J25" s="1">
        <v>40</v>
      </c>
      <c r="K25" s="1" t="s">
        <v>32</v>
      </c>
      <c r="L25" s="1" t="s">
        <v>19</v>
      </c>
      <c r="M25" s="1" t="s">
        <v>20</v>
      </c>
      <c r="N25" s="1" t="s">
        <v>35</v>
      </c>
    </row>
    <row r="26" spans="1:14">
      <c r="A26" s="2">
        <v>45436</v>
      </c>
      <c r="B26" s="1" t="s">
        <v>29</v>
      </c>
      <c r="C26" s="1" t="s">
        <v>30</v>
      </c>
      <c r="D26" s="1" t="s">
        <v>42</v>
      </c>
      <c r="E26" s="1" t="s">
        <v>17</v>
      </c>
      <c r="F26" s="1">
        <v>10</v>
      </c>
      <c r="G26" s="1">
        <v>462.7</v>
      </c>
      <c r="H26" s="1">
        <v>4627</v>
      </c>
      <c r="I26" s="1">
        <v>4567</v>
      </c>
      <c r="J26" s="1">
        <v>60</v>
      </c>
      <c r="K26" s="1" t="s">
        <v>18</v>
      </c>
      <c r="L26" s="1" t="s">
        <v>33</v>
      </c>
      <c r="M26" s="1" t="s">
        <v>27</v>
      </c>
      <c r="N26" s="1" t="s">
        <v>21</v>
      </c>
    </row>
    <row r="27" spans="1:14">
      <c r="A27" s="2">
        <v>45423</v>
      </c>
      <c r="B27" s="1" t="s">
        <v>36</v>
      </c>
      <c r="C27" s="1" t="s">
        <v>15</v>
      </c>
      <c r="D27" s="1" t="s">
        <v>48</v>
      </c>
      <c r="E27" s="1" t="s">
        <v>24</v>
      </c>
      <c r="F27" s="1">
        <v>2</v>
      </c>
      <c r="G27" s="1">
        <v>336.04</v>
      </c>
      <c r="H27" s="1">
        <v>672.08</v>
      </c>
      <c r="I27" s="1">
        <v>606.58000000000004</v>
      </c>
      <c r="J27" s="1">
        <v>65.5</v>
      </c>
      <c r="K27" s="1" t="s">
        <v>25</v>
      </c>
      <c r="L27" s="1" t="s">
        <v>19</v>
      </c>
      <c r="M27" s="1" t="s">
        <v>34</v>
      </c>
      <c r="N27" s="1" t="s">
        <v>28</v>
      </c>
    </row>
    <row r="28" spans="1:14">
      <c r="A28" s="2">
        <v>45578</v>
      </c>
      <c r="B28" s="1" t="s">
        <v>51</v>
      </c>
      <c r="C28" s="1" t="s">
        <v>52</v>
      </c>
      <c r="D28" s="1" t="s">
        <v>49</v>
      </c>
      <c r="E28" s="1" t="s">
        <v>24</v>
      </c>
      <c r="F28" s="1">
        <v>7</v>
      </c>
      <c r="G28" s="1">
        <v>349.53</v>
      </c>
      <c r="H28" s="1">
        <v>2446.71</v>
      </c>
      <c r="I28" s="1">
        <v>2397.71</v>
      </c>
      <c r="J28" s="1">
        <v>49</v>
      </c>
      <c r="K28" s="1" t="s">
        <v>32</v>
      </c>
      <c r="L28" s="1" t="s">
        <v>26</v>
      </c>
      <c r="M28" s="1" t="s">
        <v>37</v>
      </c>
      <c r="N28" s="1" t="s">
        <v>35</v>
      </c>
    </row>
    <row r="29" spans="1:14">
      <c r="A29" s="2">
        <v>45365</v>
      </c>
      <c r="B29" s="1" t="s">
        <v>38</v>
      </c>
      <c r="C29" s="1" t="s">
        <v>15</v>
      </c>
      <c r="D29" s="1" t="s">
        <v>23</v>
      </c>
      <c r="E29" s="1" t="s">
        <v>46</v>
      </c>
      <c r="F29" s="1">
        <v>5</v>
      </c>
      <c r="G29" s="1">
        <v>178.39</v>
      </c>
      <c r="H29" s="1">
        <v>891.95</v>
      </c>
      <c r="I29" s="1">
        <v>851.95</v>
      </c>
      <c r="J29" s="1">
        <v>40</v>
      </c>
      <c r="K29" s="1" t="s">
        <v>18</v>
      </c>
      <c r="L29" s="1" t="s">
        <v>26</v>
      </c>
      <c r="M29" s="1" t="s">
        <v>20</v>
      </c>
      <c r="N29" s="1" t="s">
        <v>21</v>
      </c>
    </row>
    <row r="30" spans="1:14">
      <c r="A30" s="2">
        <v>45559</v>
      </c>
      <c r="B30" s="1" t="s">
        <v>53</v>
      </c>
      <c r="C30" s="1" t="s">
        <v>40</v>
      </c>
      <c r="D30" s="1" t="s">
        <v>16</v>
      </c>
      <c r="E30" s="1" t="s">
        <v>31</v>
      </c>
      <c r="F30" s="1">
        <v>9</v>
      </c>
      <c r="G30" s="1">
        <v>479.97</v>
      </c>
      <c r="H30" s="1">
        <v>4319.7299999999996</v>
      </c>
      <c r="I30" s="1">
        <v>4259.7299999999996</v>
      </c>
      <c r="J30" s="1">
        <v>60</v>
      </c>
      <c r="K30" s="1" t="s">
        <v>25</v>
      </c>
      <c r="L30" s="1" t="s">
        <v>33</v>
      </c>
      <c r="M30" s="1" t="s">
        <v>27</v>
      </c>
      <c r="N30" s="1" t="s">
        <v>28</v>
      </c>
    </row>
    <row r="31" spans="1:14">
      <c r="A31" s="2">
        <v>45303</v>
      </c>
      <c r="B31" s="1" t="s">
        <v>53</v>
      </c>
      <c r="C31" s="1" t="s">
        <v>40</v>
      </c>
      <c r="D31" s="1" t="s">
        <v>42</v>
      </c>
      <c r="E31" s="1" t="s">
        <v>17</v>
      </c>
      <c r="F31" s="1">
        <v>1</v>
      </c>
      <c r="G31" s="1">
        <v>226.32</v>
      </c>
      <c r="H31" s="1">
        <v>226.32</v>
      </c>
      <c r="I31" s="1">
        <v>160.82</v>
      </c>
      <c r="J31" s="1">
        <v>65.5</v>
      </c>
      <c r="K31" s="1" t="s">
        <v>32</v>
      </c>
      <c r="L31" s="1" t="s">
        <v>19</v>
      </c>
      <c r="M31" s="1" t="s">
        <v>34</v>
      </c>
      <c r="N31" s="1" t="s">
        <v>35</v>
      </c>
    </row>
    <row r="32" spans="1:14">
      <c r="A32" s="2">
        <v>45545</v>
      </c>
      <c r="B32" s="1" t="s">
        <v>53</v>
      </c>
      <c r="C32" s="1" t="s">
        <v>40</v>
      </c>
      <c r="D32" s="1" t="s">
        <v>23</v>
      </c>
      <c r="E32" s="1" t="s">
        <v>31</v>
      </c>
      <c r="F32" s="1">
        <v>6</v>
      </c>
      <c r="G32" s="1">
        <v>430.69</v>
      </c>
      <c r="H32" s="1">
        <v>2584.14</v>
      </c>
      <c r="I32" s="1">
        <v>2535.14</v>
      </c>
      <c r="J32" s="1">
        <v>49</v>
      </c>
      <c r="K32" s="1" t="s">
        <v>18</v>
      </c>
      <c r="L32" s="1" t="s">
        <v>19</v>
      </c>
      <c r="M32" s="1" t="s">
        <v>37</v>
      </c>
      <c r="N32" s="1" t="s">
        <v>21</v>
      </c>
    </row>
    <row r="33" spans="1:14">
      <c r="A33" s="2">
        <v>45490</v>
      </c>
      <c r="B33" s="1" t="s">
        <v>41</v>
      </c>
      <c r="C33" s="1" t="s">
        <v>30</v>
      </c>
      <c r="D33" s="1" t="s">
        <v>23</v>
      </c>
      <c r="E33" s="1" t="s">
        <v>46</v>
      </c>
      <c r="F33" s="1">
        <v>3</v>
      </c>
      <c r="G33" s="1">
        <v>393.27</v>
      </c>
      <c r="H33" s="1">
        <v>1179.81</v>
      </c>
      <c r="I33" s="1">
        <v>1139.81</v>
      </c>
      <c r="J33" s="1">
        <v>40</v>
      </c>
      <c r="K33" s="1" t="s">
        <v>25</v>
      </c>
      <c r="L33" s="1" t="s">
        <v>26</v>
      </c>
      <c r="M33" s="1" t="s">
        <v>20</v>
      </c>
      <c r="N33" s="1" t="s">
        <v>28</v>
      </c>
    </row>
    <row r="34" spans="1:14">
      <c r="A34" s="2">
        <v>45371</v>
      </c>
      <c r="B34" s="1" t="s">
        <v>22</v>
      </c>
      <c r="C34" s="1" t="s">
        <v>15</v>
      </c>
      <c r="D34" s="1" t="s">
        <v>16</v>
      </c>
      <c r="E34" s="1" t="s">
        <v>24</v>
      </c>
      <c r="F34" s="1">
        <v>9</v>
      </c>
      <c r="G34" s="1">
        <v>475.63</v>
      </c>
      <c r="H34" s="1">
        <v>4280.67</v>
      </c>
      <c r="I34" s="1">
        <v>4220.67</v>
      </c>
      <c r="J34" s="1">
        <v>60</v>
      </c>
      <c r="K34" s="1" t="s">
        <v>32</v>
      </c>
      <c r="L34" s="1" t="s">
        <v>33</v>
      </c>
      <c r="M34" s="1" t="s">
        <v>27</v>
      </c>
      <c r="N34" s="1" t="s">
        <v>35</v>
      </c>
    </row>
    <row r="35" spans="1:14">
      <c r="A35" s="2">
        <v>45565</v>
      </c>
      <c r="B35" s="1" t="s">
        <v>22</v>
      </c>
      <c r="C35" s="1" t="s">
        <v>15</v>
      </c>
      <c r="D35" s="1" t="s">
        <v>16</v>
      </c>
      <c r="E35" s="1" t="s">
        <v>17</v>
      </c>
      <c r="F35" s="1">
        <v>1</v>
      </c>
      <c r="G35" s="1">
        <v>286.63</v>
      </c>
      <c r="H35" s="1">
        <v>286.63</v>
      </c>
      <c r="I35" s="1">
        <v>221.13</v>
      </c>
      <c r="J35" s="1">
        <v>65.5</v>
      </c>
      <c r="K35" s="1" t="s">
        <v>18</v>
      </c>
      <c r="L35" s="1" t="s">
        <v>19</v>
      </c>
      <c r="M35" s="1" t="s">
        <v>34</v>
      </c>
      <c r="N35" s="1" t="s">
        <v>21</v>
      </c>
    </row>
    <row r="36" spans="1:14">
      <c r="A36" s="2">
        <v>45545</v>
      </c>
      <c r="B36" s="1" t="s">
        <v>29</v>
      </c>
      <c r="C36" s="1" t="s">
        <v>30</v>
      </c>
      <c r="D36" s="1" t="s">
        <v>23</v>
      </c>
      <c r="E36" s="1" t="s">
        <v>31</v>
      </c>
      <c r="F36" s="1">
        <v>6</v>
      </c>
      <c r="G36" s="1">
        <v>66.28</v>
      </c>
      <c r="H36" s="1">
        <v>397.68</v>
      </c>
      <c r="I36" s="1">
        <v>348.68</v>
      </c>
      <c r="J36" s="1">
        <v>49</v>
      </c>
      <c r="K36" s="1" t="s">
        <v>25</v>
      </c>
      <c r="L36" s="1" t="s">
        <v>26</v>
      </c>
      <c r="M36" s="1" t="s">
        <v>37</v>
      </c>
      <c r="N36" s="1" t="s">
        <v>28</v>
      </c>
    </row>
    <row r="37" spans="1:14">
      <c r="A37" s="2">
        <v>45373</v>
      </c>
      <c r="B37" s="1" t="s">
        <v>54</v>
      </c>
      <c r="C37" s="1" t="s">
        <v>40</v>
      </c>
      <c r="D37" s="1" t="s">
        <v>49</v>
      </c>
      <c r="E37" s="1" t="s">
        <v>17</v>
      </c>
      <c r="F37" s="1">
        <v>1</v>
      </c>
      <c r="G37" s="1">
        <v>188.02</v>
      </c>
      <c r="H37" s="1">
        <v>188.02</v>
      </c>
      <c r="I37" s="1">
        <v>148.02000000000001</v>
      </c>
      <c r="J37" s="1">
        <v>40</v>
      </c>
      <c r="K37" s="1" t="s">
        <v>32</v>
      </c>
      <c r="L37" s="1" t="s">
        <v>19</v>
      </c>
      <c r="M37" s="1" t="s">
        <v>20</v>
      </c>
      <c r="N37" s="1" t="s">
        <v>35</v>
      </c>
    </row>
    <row r="38" spans="1:14">
      <c r="A38" s="2">
        <v>45328</v>
      </c>
      <c r="B38" s="1" t="s">
        <v>29</v>
      </c>
      <c r="C38" s="1" t="s">
        <v>30</v>
      </c>
      <c r="D38" s="1" t="s">
        <v>16</v>
      </c>
      <c r="E38" s="1" t="s">
        <v>31</v>
      </c>
      <c r="F38" s="1">
        <v>2</v>
      </c>
      <c r="G38" s="1">
        <v>163.61000000000001</v>
      </c>
      <c r="H38" s="1">
        <v>327.22000000000003</v>
      </c>
      <c r="I38" s="1">
        <v>267.22000000000003</v>
      </c>
      <c r="J38" s="1">
        <v>60</v>
      </c>
      <c r="K38" s="1" t="s">
        <v>18</v>
      </c>
      <c r="L38" s="1" t="s">
        <v>33</v>
      </c>
      <c r="M38" s="1" t="s">
        <v>27</v>
      </c>
      <c r="N38" s="1" t="s">
        <v>21</v>
      </c>
    </row>
    <row r="39" spans="1:14">
      <c r="A39" s="2">
        <v>45387</v>
      </c>
      <c r="B39" s="1" t="s">
        <v>50</v>
      </c>
      <c r="C39" s="1" t="s">
        <v>40</v>
      </c>
      <c r="D39" s="1" t="s">
        <v>23</v>
      </c>
      <c r="E39" s="1" t="s">
        <v>24</v>
      </c>
      <c r="F39" s="1">
        <v>5</v>
      </c>
      <c r="G39" s="1">
        <v>235.55</v>
      </c>
      <c r="H39" s="1">
        <v>1177.75</v>
      </c>
      <c r="I39" s="1">
        <v>1112.25</v>
      </c>
      <c r="J39" s="1">
        <v>65.5</v>
      </c>
      <c r="K39" s="1" t="s">
        <v>25</v>
      </c>
      <c r="L39" s="1" t="s">
        <v>26</v>
      </c>
      <c r="M39" s="1" t="s">
        <v>34</v>
      </c>
      <c r="N39" s="1" t="s">
        <v>28</v>
      </c>
    </row>
    <row r="40" spans="1:14">
      <c r="A40" s="2">
        <v>45408</v>
      </c>
      <c r="B40" s="1" t="s">
        <v>39</v>
      </c>
      <c r="C40" s="1" t="s">
        <v>40</v>
      </c>
      <c r="D40" s="1" t="s">
        <v>48</v>
      </c>
      <c r="E40" s="1" t="s">
        <v>24</v>
      </c>
      <c r="F40" s="1">
        <v>9</v>
      </c>
      <c r="G40" s="1">
        <v>342.15</v>
      </c>
      <c r="H40" s="1">
        <v>3079.35</v>
      </c>
      <c r="I40" s="1">
        <v>3030.35</v>
      </c>
      <c r="J40" s="1">
        <v>49</v>
      </c>
      <c r="K40" s="1" t="s">
        <v>32</v>
      </c>
      <c r="L40" s="1" t="s">
        <v>19</v>
      </c>
      <c r="M40" s="1" t="s">
        <v>37</v>
      </c>
      <c r="N40" s="1" t="s">
        <v>35</v>
      </c>
    </row>
    <row r="41" spans="1:14">
      <c r="A41" s="2">
        <v>45569</v>
      </c>
      <c r="B41" s="1" t="s">
        <v>55</v>
      </c>
      <c r="C41" s="1" t="s">
        <v>44</v>
      </c>
      <c r="D41" s="1" t="s">
        <v>23</v>
      </c>
      <c r="E41" s="1" t="s">
        <v>46</v>
      </c>
      <c r="F41" s="1">
        <v>4</v>
      </c>
      <c r="G41" s="1">
        <v>117.1</v>
      </c>
      <c r="H41" s="1">
        <v>468.4</v>
      </c>
      <c r="I41" s="1">
        <v>428.4</v>
      </c>
      <c r="J41" s="1">
        <v>40</v>
      </c>
      <c r="K41" s="1" t="s">
        <v>18</v>
      </c>
      <c r="L41" s="1" t="s">
        <v>33</v>
      </c>
      <c r="M41" s="1" t="s">
        <v>20</v>
      </c>
      <c r="N41" s="1" t="s">
        <v>21</v>
      </c>
    </row>
    <row r="42" spans="1:14">
      <c r="A42" s="2">
        <v>45396</v>
      </c>
      <c r="B42" s="1" t="s">
        <v>56</v>
      </c>
      <c r="C42" s="1" t="s">
        <v>52</v>
      </c>
      <c r="D42" s="1" t="s">
        <v>23</v>
      </c>
      <c r="E42" s="1" t="s">
        <v>31</v>
      </c>
      <c r="F42" s="1">
        <v>2</v>
      </c>
      <c r="G42" s="1">
        <v>416.69</v>
      </c>
      <c r="H42" s="1">
        <v>833.38</v>
      </c>
      <c r="I42" s="1">
        <v>773.38</v>
      </c>
      <c r="J42" s="1">
        <v>60</v>
      </c>
      <c r="K42" s="1" t="s">
        <v>25</v>
      </c>
      <c r="L42" s="1" t="s">
        <v>19</v>
      </c>
      <c r="M42" s="1" t="s">
        <v>27</v>
      </c>
      <c r="N42" s="1" t="s">
        <v>28</v>
      </c>
    </row>
    <row r="43" spans="1:14">
      <c r="A43" s="2">
        <v>45425</v>
      </c>
      <c r="B43" s="1" t="s">
        <v>14</v>
      </c>
      <c r="C43" s="1" t="s">
        <v>15</v>
      </c>
      <c r="D43" s="1" t="s">
        <v>49</v>
      </c>
      <c r="E43" s="1" t="s">
        <v>17</v>
      </c>
      <c r="F43" s="1">
        <v>8</v>
      </c>
      <c r="G43" s="1">
        <v>341.07</v>
      </c>
      <c r="H43" s="1">
        <v>2728.56</v>
      </c>
      <c r="I43" s="1">
        <v>2663.06</v>
      </c>
      <c r="J43" s="1">
        <v>65.5</v>
      </c>
      <c r="K43" s="1" t="s">
        <v>32</v>
      </c>
      <c r="L43" s="1" t="s">
        <v>26</v>
      </c>
      <c r="M43" s="1" t="s">
        <v>34</v>
      </c>
      <c r="N43" s="1" t="s">
        <v>35</v>
      </c>
    </row>
    <row r="44" spans="1:14">
      <c r="A44" s="2">
        <v>45460</v>
      </c>
      <c r="B44" s="1" t="s">
        <v>57</v>
      </c>
      <c r="C44" s="1" t="s">
        <v>30</v>
      </c>
      <c r="D44" s="1" t="s">
        <v>16</v>
      </c>
      <c r="E44" s="1" t="s">
        <v>31</v>
      </c>
      <c r="F44" s="1">
        <v>7</v>
      </c>
      <c r="G44" s="1">
        <v>76.53</v>
      </c>
      <c r="H44" s="1">
        <v>535.71</v>
      </c>
      <c r="I44" s="1">
        <v>486.71000000000004</v>
      </c>
      <c r="J44" s="1">
        <v>49</v>
      </c>
      <c r="K44" s="1" t="s">
        <v>18</v>
      </c>
      <c r="L44" s="1" t="s">
        <v>33</v>
      </c>
      <c r="M44" s="1" t="s">
        <v>37</v>
      </c>
      <c r="N44" s="1" t="s">
        <v>21</v>
      </c>
    </row>
    <row r="45" spans="1:14">
      <c r="A45" s="2">
        <v>45508</v>
      </c>
      <c r="B45" s="1" t="s">
        <v>36</v>
      </c>
      <c r="C45" s="1" t="s">
        <v>15</v>
      </c>
      <c r="D45" s="1" t="s">
        <v>49</v>
      </c>
      <c r="E45" s="1" t="s">
        <v>46</v>
      </c>
      <c r="F45" s="1">
        <v>5</v>
      </c>
      <c r="G45" s="1">
        <v>302.08</v>
      </c>
      <c r="H45" s="1">
        <v>1510.4</v>
      </c>
      <c r="I45" s="1">
        <v>1470.4</v>
      </c>
      <c r="J45" s="1">
        <v>40</v>
      </c>
      <c r="K45" s="1" t="s">
        <v>25</v>
      </c>
      <c r="L45" s="1" t="s">
        <v>19</v>
      </c>
      <c r="M45" s="1" t="s">
        <v>20</v>
      </c>
      <c r="N45" s="1" t="s">
        <v>28</v>
      </c>
    </row>
    <row r="46" spans="1:14">
      <c r="A46" s="2">
        <v>45406</v>
      </c>
      <c r="B46" s="1" t="s">
        <v>56</v>
      </c>
      <c r="C46" s="1" t="s">
        <v>52</v>
      </c>
      <c r="D46" s="1" t="s">
        <v>42</v>
      </c>
      <c r="E46" s="1" t="s">
        <v>24</v>
      </c>
      <c r="F46" s="1">
        <v>6</v>
      </c>
      <c r="G46" s="1">
        <v>343.96</v>
      </c>
      <c r="H46" s="1">
        <v>2063.7600000000002</v>
      </c>
      <c r="I46" s="1">
        <v>2003.7600000000002</v>
      </c>
      <c r="J46" s="1">
        <v>60</v>
      </c>
      <c r="K46" s="1" t="s">
        <v>32</v>
      </c>
      <c r="L46" s="1" t="s">
        <v>26</v>
      </c>
      <c r="M46" s="1" t="s">
        <v>27</v>
      </c>
      <c r="N46" s="1" t="s">
        <v>35</v>
      </c>
    </row>
    <row r="47" spans="1:14">
      <c r="A47" s="2">
        <v>45442</v>
      </c>
      <c r="B47" s="1" t="s">
        <v>36</v>
      </c>
      <c r="C47" s="1" t="s">
        <v>15</v>
      </c>
      <c r="D47" s="1" t="s">
        <v>42</v>
      </c>
      <c r="E47" s="1" t="s">
        <v>31</v>
      </c>
      <c r="F47" s="1">
        <v>3</v>
      </c>
      <c r="G47" s="1">
        <v>334.52</v>
      </c>
      <c r="H47" s="1">
        <v>1003.56</v>
      </c>
      <c r="I47" s="1">
        <v>938.06</v>
      </c>
      <c r="J47" s="1">
        <v>65.5</v>
      </c>
      <c r="K47" s="1" t="s">
        <v>18</v>
      </c>
      <c r="L47" s="1" t="s">
        <v>33</v>
      </c>
      <c r="M47" s="1" t="s">
        <v>34</v>
      </c>
      <c r="N47" s="1" t="s">
        <v>21</v>
      </c>
    </row>
    <row r="48" spans="1:14">
      <c r="A48" s="2">
        <v>45527</v>
      </c>
      <c r="B48" s="1" t="s">
        <v>36</v>
      </c>
      <c r="C48" s="1" t="s">
        <v>15</v>
      </c>
      <c r="D48" s="1" t="s">
        <v>49</v>
      </c>
      <c r="E48" s="1" t="s">
        <v>17</v>
      </c>
      <c r="F48" s="1">
        <v>6</v>
      </c>
      <c r="G48" s="1">
        <v>108.38</v>
      </c>
      <c r="H48" s="1">
        <v>650.28</v>
      </c>
      <c r="I48" s="1">
        <v>601.28</v>
      </c>
      <c r="J48" s="1">
        <v>49</v>
      </c>
      <c r="K48" s="1" t="s">
        <v>25</v>
      </c>
      <c r="L48" s="1" t="s">
        <v>19</v>
      </c>
      <c r="M48" s="1" t="s">
        <v>37</v>
      </c>
      <c r="N48" s="1" t="s">
        <v>28</v>
      </c>
    </row>
    <row r="49" spans="1:14">
      <c r="A49" s="2">
        <v>45511</v>
      </c>
      <c r="B49" s="1" t="s">
        <v>43</v>
      </c>
      <c r="C49" s="1" t="s">
        <v>44</v>
      </c>
      <c r="D49" s="1" t="s">
        <v>16</v>
      </c>
      <c r="E49" s="1" t="s">
        <v>17</v>
      </c>
      <c r="F49" s="1">
        <v>6</v>
      </c>
      <c r="G49" s="1">
        <v>135.08000000000001</v>
      </c>
      <c r="H49" s="1">
        <v>810.48</v>
      </c>
      <c r="I49" s="1">
        <v>770.48</v>
      </c>
      <c r="J49" s="1">
        <v>40</v>
      </c>
      <c r="K49" s="1" t="s">
        <v>32</v>
      </c>
      <c r="L49" s="1" t="s">
        <v>19</v>
      </c>
      <c r="M49" s="1" t="s">
        <v>20</v>
      </c>
      <c r="N49" s="1" t="s">
        <v>35</v>
      </c>
    </row>
    <row r="50" spans="1:14">
      <c r="A50" s="2">
        <v>45382</v>
      </c>
      <c r="B50" s="1" t="s">
        <v>38</v>
      </c>
      <c r="C50" s="1" t="s">
        <v>15</v>
      </c>
      <c r="D50" s="1" t="s">
        <v>49</v>
      </c>
      <c r="E50" s="1" t="s">
        <v>46</v>
      </c>
      <c r="F50" s="1">
        <v>8</v>
      </c>
      <c r="G50" s="1">
        <v>217.97</v>
      </c>
      <c r="H50" s="1">
        <v>1743.76</v>
      </c>
      <c r="I50" s="1">
        <v>1683.76</v>
      </c>
      <c r="J50" s="1">
        <v>60</v>
      </c>
      <c r="K50" s="1" t="s">
        <v>18</v>
      </c>
      <c r="L50" s="1" t="s">
        <v>33</v>
      </c>
      <c r="M50" s="1" t="s">
        <v>27</v>
      </c>
      <c r="N50" s="1" t="s">
        <v>21</v>
      </c>
    </row>
    <row r="51" spans="1:14">
      <c r="A51" s="2">
        <v>45318</v>
      </c>
      <c r="B51" s="1" t="s">
        <v>38</v>
      </c>
      <c r="C51" s="1" t="s">
        <v>15</v>
      </c>
      <c r="D51" s="1" t="s">
        <v>42</v>
      </c>
      <c r="E51" s="1" t="s">
        <v>31</v>
      </c>
      <c r="F51" s="1">
        <v>10</v>
      </c>
      <c r="G51" s="1">
        <v>315.7</v>
      </c>
      <c r="H51" s="1">
        <v>3157</v>
      </c>
      <c r="I51" s="1">
        <v>3091.5</v>
      </c>
      <c r="J51" s="1">
        <v>65.5</v>
      </c>
      <c r="K51" s="1" t="s">
        <v>25</v>
      </c>
      <c r="L51" s="1" t="s">
        <v>19</v>
      </c>
      <c r="M51" s="1" t="s">
        <v>34</v>
      </c>
      <c r="N51" s="1" t="s">
        <v>28</v>
      </c>
    </row>
    <row r="52" spans="1:14">
      <c r="A52" s="2">
        <v>45444</v>
      </c>
      <c r="B52" s="1" t="s">
        <v>53</v>
      </c>
      <c r="C52" s="1" t="s">
        <v>40</v>
      </c>
      <c r="D52" s="1" t="s">
        <v>42</v>
      </c>
      <c r="E52" s="1" t="s">
        <v>31</v>
      </c>
      <c r="F52" s="1">
        <v>4</v>
      </c>
      <c r="G52" s="1">
        <v>275.02999999999997</v>
      </c>
      <c r="H52" s="1">
        <v>1100.1199999999999</v>
      </c>
      <c r="I52" s="1">
        <v>1051.1199999999999</v>
      </c>
      <c r="J52" s="1">
        <v>49</v>
      </c>
      <c r="K52" s="1" t="s">
        <v>32</v>
      </c>
      <c r="L52" s="1" t="s">
        <v>26</v>
      </c>
      <c r="M52" s="1" t="s">
        <v>37</v>
      </c>
      <c r="N52" s="1" t="s">
        <v>35</v>
      </c>
    </row>
    <row r="53" spans="1:14">
      <c r="A53" s="2">
        <v>45389</v>
      </c>
      <c r="B53" s="1" t="s">
        <v>54</v>
      </c>
      <c r="C53" s="1" t="s">
        <v>40</v>
      </c>
      <c r="D53" s="1" t="s">
        <v>23</v>
      </c>
      <c r="E53" s="1" t="s">
        <v>46</v>
      </c>
      <c r="F53" s="1">
        <v>2</v>
      </c>
      <c r="G53" s="1">
        <v>333.53</v>
      </c>
      <c r="H53" s="1">
        <v>667.06</v>
      </c>
      <c r="I53" s="1">
        <v>627.05999999999995</v>
      </c>
      <c r="J53" s="1">
        <v>40</v>
      </c>
      <c r="K53" s="1" t="s">
        <v>18</v>
      </c>
      <c r="L53" s="1" t="s">
        <v>19</v>
      </c>
      <c r="M53" s="1" t="s">
        <v>20</v>
      </c>
      <c r="N53" s="1" t="s">
        <v>21</v>
      </c>
    </row>
    <row r="54" spans="1:14">
      <c r="A54" s="2">
        <v>45393</v>
      </c>
      <c r="B54" s="1" t="s">
        <v>45</v>
      </c>
      <c r="C54" s="1" t="s">
        <v>44</v>
      </c>
      <c r="D54" s="1" t="s">
        <v>23</v>
      </c>
      <c r="E54" s="1" t="s">
        <v>31</v>
      </c>
      <c r="F54" s="1">
        <v>10</v>
      </c>
      <c r="G54" s="1">
        <v>493.05</v>
      </c>
      <c r="H54" s="1">
        <v>4930.5</v>
      </c>
      <c r="I54" s="1">
        <v>4870.5</v>
      </c>
      <c r="J54" s="1">
        <v>60</v>
      </c>
      <c r="K54" s="1" t="s">
        <v>25</v>
      </c>
      <c r="L54" s="1" t="s">
        <v>33</v>
      </c>
      <c r="M54" s="1" t="s">
        <v>27</v>
      </c>
      <c r="N54" s="1" t="s">
        <v>28</v>
      </c>
    </row>
    <row r="55" spans="1:14">
      <c r="A55" s="2">
        <v>45314</v>
      </c>
      <c r="B55" s="1" t="s">
        <v>50</v>
      </c>
      <c r="C55" s="1" t="s">
        <v>40</v>
      </c>
      <c r="D55" s="1" t="s">
        <v>16</v>
      </c>
      <c r="E55" s="1" t="s">
        <v>24</v>
      </c>
      <c r="F55" s="1">
        <v>2</v>
      </c>
      <c r="G55" s="1">
        <v>154.16</v>
      </c>
      <c r="H55" s="1">
        <v>308.32</v>
      </c>
      <c r="I55" s="1">
        <v>242.82</v>
      </c>
      <c r="J55" s="1">
        <v>65.5</v>
      </c>
      <c r="K55" s="1" t="s">
        <v>32</v>
      </c>
      <c r="L55" s="1" t="s">
        <v>26</v>
      </c>
      <c r="M55" s="1" t="s">
        <v>34</v>
      </c>
      <c r="N55" s="1" t="s">
        <v>35</v>
      </c>
    </row>
    <row r="56" spans="1:14">
      <c r="A56" s="2">
        <v>45306</v>
      </c>
      <c r="B56" s="1" t="s">
        <v>58</v>
      </c>
      <c r="C56" s="1" t="s">
        <v>52</v>
      </c>
      <c r="D56" s="1" t="s">
        <v>48</v>
      </c>
      <c r="E56" s="1" t="s">
        <v>31</v>
      </c>
      <c r="F56" s="1">
        <v>10</v>
      </c>
      <c r="G56" s="1">
        <v>294.19</v>
      </c>
      <c r="H56" s="1">
        <v>2941.9</v>
      </c>
      <c r="I56" s="1">
        <v>2892.9</v>
      </c>
      <c r="J56" s="1">
        <v>49</v>
      </c>
      <c r="K56" s="1" t="s">
        <v>18</v>
      </c>
      <c r="L56" s="1" t="s">
        <v>19</v>
      </c>
      <c r="M56" s="1" t="s">
        <v>37</v>
      </c>
      <c r="N56" s="1" t="s">
        <v>21</v>
      </c>
    </row>
    <row r="57" spans="1:14">
      <c r="A57" s="2">
        <v>45330</v>
      </c>
      <c r="B57" s="1" t="s">
        <v>29</v>
      </c>
      <c r="C57" s="1" t="s">
        <v>30</v>
      </c>
      <c r="D57" s="1" t="s">
        <v>16</v>
      </c>
      <c r="E57" s="1" t="s">
        <v>17</v>
      </c>
      <c r="F57" s="1">
        <v>8</v>
      </c>
      <c r="G57" s="1">
        <v>307.88</v>
      </c>
      <c r="H57" s="1">
        <v>2463.04</v>
      </c>
      <c r="I57" s="1">
        <v>2423.04</v>
      </c>
      <c r="J57" s="1">
        <v>40</v>
      </c>
      <c r="K57" s="1" t="s">
        <v>25</v>
      </c>
      <c r="L57" s="1" t="s">
        <v>33</v>
      </c>
      <c r="M57" s="1" t="s">
        <v>20</v>
      </c>
      <c r="N57" s="1" t="s">
        <v>28</v>
      </c>
    </row>
    <row r="58" spans="1:14">
      <c r="A58" s="2">
        <v>45373</v>
      </c>
      <c r="B58" s="1" t="s">
        <v>55</v>
      </c>
      <c r="C58" s="1" t="s">
        <v>44</v>
      </c>
      <c r="D58" s="1" t="s">
        <v>48</v>
      </c>
      <c r="E58" s="1" t="s">
        <v>17</v>
      </c>
      <c r="F58" s="1">
        <v>10</v>
      </c>
      <c r="G58" s="1">
        <v>223.77</v>
      </c>
      <c r="H58" s="1">
        <v>2237.6999999999998</v>
      </c>
      <c r="I58" s="1">
        <v>2177.6999999999998</v>
      </c>
      <c r="J58" s="1">
        <v>60</v>
      </c>
      <c r="K58" s="1" t="s">
        <v>32</v>
      </c>
      <c r="L58" s="1" t="s">
        <v>19</v>
      </c>
      <c r="M58" s="1" t="s">
        <v>27</v>
      </c>
      <c r="N58" s="1" t="s">
        <v>35</v>
      </c>
    </row>
    <row r="59" spans="1:14">
      <c r="A59" s="2">
        <v>45369</v>
      </c>
      <c r="B59" s="1" t="s">
        <v>59</v>
      </c>
      <c r="C59" s="1" t="s">
        <v>30</v>
      </c>
      <c r="D59" s="1" t="s">
        <v>23</v>
      </c>
      <c r="E59" s="1" t="s">
        <v>46</v>
      </c>
      <c r="F59" s="1">
        <v>5</v>
      </c>
      <c r="G59" s="1">
        <v>83.92</v>
      </c>
      <c r="H59" s="1">
        <v>419.6</v>
      </c>
      <c r="I59" s="1">
        <v>354.1</v>
      </c>
      <c r="J59" s="1">
        <v>65.5</v>
      </c>
      <c r="K59" s="1" t="s">
        <v>18</v>
      </c>
      <c r="L59" s="1" t="s">
        <v>26</v>
      </c>
      <c r="M59" s="1" t="s">
        <v>34</v>
      </c>
      <c r="N59" s="1" t="s">
        <v>21</v>
      </c>
    </row>
    <row r="60" spans="1:14">
      <c r="A60" s="2">
        <v>45501</v>
      </c>
      <c r="B60" s="1" t="s">
        <v>50</v>
      </c>
      <c r="C60" s="1" t="s">
        <v>40</v>
      </c>
      <c r="D60" s="1" t="s">
        <v>49</v>
      </c>
      <c r="E60" s="1" t="s">
        <v>17</v>
      </c>
      <c r="F60" s="1">
        <v>3</v>
      </c>
      <c r="G60" s="1">
        <v>191.55</v>
      </c>
      <c r="H60" s="1">
        <v>574.65</v>
      </c>
      <c r="I60" s="1">
        <v>525.65</v>
      </c>
      <c r="J60" s="1">
        <v>49</v>
      </c>
      <c r="K60" s="1" t="s">
        <v>25</v>
      </c>
      <c r="L60" s="1" t="s">
        <v>33</v>
      </c>
      <c r="M60" s="1" t="s">
        <v>37</v>
      </c>
      <c r="N60" s="1" t="s">
        <v>28</v>
      </c>
    </row>
    <row r="61" spans="1:14">
      <c r="A61" s="2">
        <v>45536</v>
      </c>
      <c r="B61" s="1" t="s">
        <v>14</v>
      </c>
      <c r="C61" s="1" t="s">
        <v>15</v>
      </c>
      <c r="D61" s="1" t="s">
        <v>48</v>
      </c>
      <c r="E61" s="1" t="s">
        <v>31</v>
      </c>
      <c r="F61" s="1">
        <v>5</v>
      </c>
      <c r="G61" s="1">
        <v>290.39</v>
      </c>
      <c r="H61" s="1">
        <v>1451.95</v>
      </c>
      <c r="I61" s="1">
        <v>1411.95</v>
      </c>
      <c r="J61" s="1">
        <v>40</v>
      </c>
      <c r="K61" s="1" t="s">
        <v>32</v>
      </c>
      <c r="L61" s="1" t="s">
        <v>19</v>
      </c>
      <c r="M61" s="1" t="s">
        <v>20</v>
      </c>
      <c r="N61" s="1" t="s">
        <v>35</v>
      </c>
    </row>
    <row r="62" spans="1:14">
      <c r="A62" s="2">
        <v>45510</v>
      </c>
      <c r="B62" s="1" t="s">
        <v>54</v>
      </c>
      <c r="C62" s="1" t="s">
        <v>40</v>
      </c>
      <c r="D62" s="1" t="s">
        <v>16</v>
      </c>
      <c r="E62" s="1" t="s">
        <v>17</v>
      </c>
      <c r="F62" s="1">
        <v>8</v>
      </c>
      <c r="G62" s="1">
        <v>89.62</v>
      </c>
      <c r="H62" s="1">
        <v>716.96</v>
      </c>
      <c r="I62" s="1">
        <v>656.96</v>
      </c>
      <c r="J62" s="1">
        <v>60</v>
      </c>
      <c r="K62" s="1" t="s">
        <v>18</v>
      </c>
      <c r="L62" s="1" t="s">
        <v>26</v>
      </c>
      <c r="M62" s="1" t="s">
        <v>27</v>
      </c>
      <c r="N62" s="1" t="s">
        <v>21</v>
      </c>
    </row>
    <row r="63" spans="1:14">
      <c r="A63" s="2">
        <v>45543</v>
      </c>
      <c r="B63" s="1" t="s">
        <v>59</v>
      </c>
      <c r="C63" s="1" t="s">
        <v>30</v>
      </c>
      <c r="D63" s="1" t="s">
        <v>49</v>
      </c>
      <c r="E63" s="1" t="s">
        <v>24</v>
      </c>
      <c r="F63" s="1">
        <v>7</v>
      </c>
      <c r="G63" s="1">
        <v>252.53</v>
      </c>
      <c r="H63" s="1">
        <v>1767.71</v>
      </c>
      <c r="I63" s="1">
        <v>1702.21</v>
      </c>
      <c r="J63" s="1">
        <v>65.5</v>
      </c>
      <c r="K63" s="1" t="s">
        <v>25</v>
      </c>
      <c r="L63" s="1" t="s">
        <v>19</v>
      </c>
      <c r="M63" s="1" t="s">
        <v>34</v>
      </c>
      <c r="N63" s="1" t="s">
        <v>28</v>
      </c>
    </row>
    <row r="64" spans="1:14">
      <c r="A64" s="2">
        <v>45332</v>
      </c>
      <c r="B64" s="1" t="s">
        <v>43</v>
      </c>
      <c r="C64" s="1" t="s">
        <v>44</v>
      </c>
      <c r="D64" s="1" t="s">
        <v>42</v>
      </c>
      <c r="E64" s="1" t="s">
        <v>24</v>
      </c>
      <c r="F64" s="1">
        <v>9</v>
      </c>
      <c r="G64" s="1">
        <v>127.33</v>
      </c>
      <c r="H64" s="1">
        <v>1145.97</v>
      </c>
      <c r="I64" s="1">
        <v>1096.97</v>
      </c>
      <c r="J64" s="1">
        <v>49</v>
      </c>
      <c r="K64" s="1" t="s">
        <v>32</v>
      </c>
      <c r="L64" s="1" t="s">
        <v>33</v>
      </c>
      <c r="M64" s="1" t="s">
        <v>37</v>
      </c>
      <c r="N64" s="1" t="s">
        <v>35</v>
      </c>
    </row>
    <row r="65" spans="1:14">
      <c r="A65" s="2">
        <v>45537</v>
      </c>
      <c r="B65" s="1" t="s">
        <v>53</v>
      </c>
      <c r="C65" s="1" t="s">
        <v>40</v>
      </c>
      <c r="D65" s="1" t="s">
        <v>49</v>
      </c>
      <c r="E65" s="1" t="s">
        <v>17</v>
      </c>
      <c r="F65" s="1">
        <v>4</v>
      </c>
      <c r="G65" s="1">
        <v>165.21</v>
      </c>
      <c r="H65" s="1">
        <v>660.84</v>
      </c>
      <c r="I65" s="1">
        <v>620.84</v>
      </c>
      <c r="J65" s="1">
        <v>40</v>
      </c>
      <c r="K65" s="1" t="s">
        <v>18</v>
      </c>
      <c r="L65" s="1" t="s">
        <v>19</v>
      </c>
      <c r="M65" s="1" t="s">
        <v>20</v>
      </c>
      <c r="N65" s="1" t="s">
        <v>21</v>
      </c>
    </row>
    <row r="66" spans="1:14">
      <c r="A66" s="2">
        <v>45325</v>
      </c>
      <c r="B66" s="1" t="s">
        <v>38</v>
      </c>
      <c r="C66" s="1" t="s">
        <v>15</v>
      </c>
      <c r="D66" s="1" t="s">
        <v>16</v>
      </c>
      <c r="E66" s="1" t="s">
        <v>17</v>
      </c>
      <c r="F66" s="1">
        <v>8</v>
      </c>
      <c r="G66" s="1">
        <v>292.8</v>
      </c>
      <c r="H66" s="1">
        <v>2342.4</v>
      </c>
      <c r="I66" s="1">
        <v>2282.4</v>
      </c>
      <c r="J66" s="1">
        <v>60</v>
      </c>
      <c r="K66" s="1" t="s">
        <v>25</v>
      </c>
      <c r="L66" s="1" t="s">
        <v>26</v>
      </c>
      <c r="M66" s="1" t="s">
        <v>27</v>
      </c>
      <c r="N66" s="1" t="s">
        <v>28</v>
      </c>
    </row>
    <row r="67" spans="1:14">
      <c r="A67" s="2">
        <v>45341</v>
      </c>
      <c r="B67" s="1" t="s">
        <v>29</v>
      </c>
      <c r="C67" s="1" t="s">
        <v>30</v>
      </c>
      <c r="D67" s="1" t="s">
        <v>42</v>
      </c>
      <c r="E67" s="1" t="s">
        <v>24</v>
      </c>
      <c r="F67" s="1">
        <v>1</v>
      </c>
      <c r="G67" s="1">
        <v>327.33</v>
      </c>
      <c r="H67" s="1">
        <v>327.33</v>
      </c>
      <c r="I67" s="1">
        <v>261.83</v>
      </c>
      <c r="J67" s="1">
        <v>65.5</v>
      </c>
      <c r="K67" s="1" t="s">
        <v>32</v>
      </c>
      <c r="L67" s="1" t="s">
        <v>19</v>
      </c>
      <c r="M67" s="1" t="s">
        <v>34</v>
      </c>
      <c r="N67" s="1" t="s">
        <v>35</v>
      </c>
    </row>
    <row r="68" spans="1:14">
      <c r="A68" s="2">
        <v>45437</v>
      </c>
      <c r="B68" s="1" t="s">
        <v>22</v>
      </c>
      <c r="C68" s="1" t="s">
        <v>15</v>
      </c>
      <c r="D68" s="1" t="s">
        <v>48</v>
      </c>
      <c r="E68" s="1" t="s">
        <v>46</v>
      </c>
      <c r="F68" s="1">
        <v>6</v>
      </c>
      <c r="G68" s="1">
        <v>201.52</v>
      </c>
      <c r="H68" s="1">
        <v>1209.1199999999999</v>
      </c>
      <c r="I68" s="1">
        <v>1160.1199999999999</v>
      </c>
      <c r="J68" s="1">
        <v>49</v>
      </c>
      <c r="K68" s="1" t="s">
        <v>18</v>
      </c>
      <c r="L68" s="1" t="s">
        <v>33</v>
      </c>
      <c r="M68" s="1" t="s">
        <v>37</v>
      </c>
      <c r="N68" s="1" t="s">
        <v>21</v>
      </c>
    </row>
    <row r="69" spans="1:14">
      <c r="A69" s="2">
        <v>45399</v>
      </c>
      <c r="B69" s="1" t="s">
        <v>14</v>
      </c>
      <c r="C69" s="1" t="s">
        <v>15</v>
      </c>
      <c r="D69" s="1" t="s">
        <v>48</v>
      </c>
      <c r="E69" s="1" t="s">
        <v>31</v>
      </c>
      <c r="F69" s="1">
        <v>3</v>
      </c>
      <c r="G69" s="1">
        <v>487.82</v>
      </c>
      <c r="H69" s="1">
        <v>1463.46</v>
      </c>
      <c r="I69" s="1">
        <v>1423.46</v>
      </c>
      <c r="J69" s="1">
        <v>40</v>
      </c>
      <c r="K69" s="1" t="s">
        <v>25</v>
      </c>
      <c r="L69" s="1" t="s">
        <v>19</v>
      </c>
      <c r="M69" s="1" t="s">
        <v>20</v>
      </c>
      <c r="N69" s="1" t="s">
        <v>28</v>
      </c>
    </row>
    <row r="70" spans="1:14">
      <c r="A70" s="2">
        <v>45563</v>
      </c>
      <c r="B70" s="1" t="s">
        <v>43</v>
      </c>
      <c r="C70" s="1" t="s">
        <v>44</v>
      </c>
      <c r="D70" s="1" t="s">
        <v>48</v>
      </c>
      <c r="E70" s="1" t="s">
        <v>46</v>
      </c>
      <c r="F70" s="1">
        <v>9</v>
      </c>
      <c r="G70" s="1">
        <v>334.1</v>
      </c>
      <c r="H70" s="1">
        <v>3006.9</v>
      </c>
      <c r="I70" s="1">
        <v>2946.9</v>
      </c>
      <c r="J70" s="1">
        <v>60</v>
      </c>
      <c r="K70" s="1" t="s">
        <v>32</v>
      </c>
      <c r="L70" s="1" t="s">
        <v>26</v>
      </c>
      <c r="M70" s="1" t="s">
        <v>27</v>
      </c>
      <c r="N70" s="1" t="s">
        <v>35</v>
      </c>
    </row>
    <row r="71" spans="1:14">
      <c r="A71" s="2">
        <v>45328</v>
      </c>
      <c r="B71" s="1" t="s">
        <v>36</v>
      </c>
      <c r="C71" s="1" t="s">
        <v>15</v>
      </c>
      <c r="D71" s="1" t="s">
        <v>49</v>
      </c>
      <c r="E71" s="1" t="s">
        <v>31</v>
      </c>
      <c r="F71" s="1">
        <v>10</v>
      </c>
      <c r="G71" s="1">
        <v>88.48</v>
      </c>
      <c r="H71" s="1">
        <v>884.8</v>
      </c>
      <c r="I71" s="1">
        <v>819.3</v>
      </c>
      <c r="J71" s="1">
        <v>65.5</v>
      </c>
      <c r="K71" s="1" t="s">
        <v>18</v>
      </c>
      <c r="L71" s="1" t="s">
        <v>19</v>
      </c>
      <c r="M71" s="1" t="s">
        <v>34</v>
      </c>
      <c r="N71" s="1" t="s">
        <v>21</v>
      </c>
    </row>
    <row r="72" spans="1:14">
      <c r="A72" s="2">
        <v>45371</v>
      </c>
      <c r="B72" s="1" t="s">
        <v>38</v>
      </c>
      <c r="C72" s="1" t="s">
        <v>15</v>
      </c>
      <c r="D72" s="1" t="s">
        <v>23</v>
      </c>
      <c r="E72" s="1" t="s">
        <v>46</v>
      </c>
      <c r="F72" s="1">
        <v>2</v>
      </c>
      <c r="G72" s="1">
        <v>115.48</v>
      </c>
      <c r="H72" s="1">
        <v>230.96</v>
      </c>
      <c r="I72" s="1">
        <v>181.96</v>
      </c>
      <c r="J72" s="1">
        <v>49</v>
      </c>
      <c r="K72" s="1" t="s">
        <v>25</v>
      </c>
      <c r="L72" s="1" t="s">
        <v>33</v>
      </c>
      <c r="M72" s="1" t="s">
        <v>37</v>
      </c>
      <c r="N72" s="1" t="s">
        <v>28</v>
      </c>
    </row>
    <row r="73" spans="1:14">
      <c r="A73" s="2">
        <v>45425</v>
      </c>
      <c r="B73" s="1" t="s">
        <v>38</v>
      </c>
      <c r="C73" s="1" t="s">
        <v>15</v>
      </c>
      <c r="D73" s="1" t="s">
        <v>49</v>
      </c>
      <c r="E73" s="1" t="s">
        <v>24</v>
      </c>
      <c r="F73" s="1">
        <v>1</v>
      </c>
      <c r="G73" s="1">
        <v>187.15</v>
      </c>
      <c r="H73" s="1">
        <v>187.15</v>
      </c>
      <c r="I73" s="1">
        <v>147.15</v>
      </c>
      <c r="J73" s="1">
        <v>40</v>
      </c>
      <c r="K73" s="1" t="s">
        <v>32</v>
      </c>
      <c r="L73" s="1" t="s">
        <v>26</v>
      </c>
      <c r="M73" s="1" t="s">
        <v>20</v>
      </c>
      <c r="N73" s="1" t="s">
        <v>35</v>
      </c>
    </row>
    <row r="74" spans="1:14">
      <c r="A74" s="2">
        <v>45430</v>
      </c>
      <c r="B74" s="1" t="s">
        <v>45</v>
      </c>
      <c r="C74" s="1" t="s">
        <v>44</v>
      </c>
      <c r="D74" s="1" t="s">
        <v>48</v>
      </c>
      <c r="E74" s="1" t="s">
        <v>31</v>
      </c>
      <c r="F74" s="1">
        <v>8</v>
      </c>
      <c r="G74" s="1">
        <v>300.43</v>
      </c>
      <c r="H74" s="1">
        <v>2403.44</v>
      </c>
      <c r="I74" s="1">
        <v>2343.44</v>
      </c>
      <c r="J74" s="1">
        <v>60</v>
      </c>
      <c r="K74" s="1" t="s">
        <v>18</v>
      </c>
      <c r="L74" s="1" t="s">
        <v>19</v>
      </c>
      <c r="M74" s="1" t="s">
        <v>27</v>
      </c>
      <c r="N74" s="1" t="s">
        <v>21</v>
      </c>
    </row>
    <row r="75" spans="1:14">
      <c r="A75" s="2">
        <v>45295</v>
      </c>
      <c r="B75" s="1" t="s">
        <v>53</v>
      </c>
      <c r="C75" s="1" t="s">
        <v>40</v>
      </c>
      <c r="D75" s="1" t="s">
        <v>42</v>
      </c>
      <c r="E75" s="1" t="s">
        <v>31</v>
      </c>
      <c r="F75" s="1">
        <v>3</v>
      </c>
      <c r="G75" s="1">
        <v>22.62</v>
      </c>
      <c r="H75" s="1">
        <v>67.86</v>
      </c>
      <c r="I75" s="1">
        <v>2.3599999999999994</v>
      </c>
      <c r="J75" s="1">
        <v>65.5</v>
      </c>
      <c r="K75" s="1" t="s">
        <v>25</v>
      </c>
      <c r="L75" s="1" t="s">
        <v>19</v>
      </c>
      <c r="M75" s="1" t="s">
        <v>34</v>
      </c>
      <c r="N75" s="1" t="s">
        <v>28</v>
      </c>
    </row>
    <row r="76" spans="1:14">
      <c r="A76" s="2">
        <v>45384</v>
      </c>
      <c r="B76" s="1" t="s">
        <v>47</v>
      </c>
      <c r="C76" s="1" t="s">
        <v>44</v>
      </c>
      <c r="D76" s="1" t="s">
        <v>49</v>
      </c>
      <c r="E76" s="1" t="s">
        <v>46</v>
      </c>
      <c r="F76" s="1">
        <v>3</v>
      </c>
      <c r="G76" s="1">
        <v>295.91000000000003</v>
      </c>
      <c r="H76" s="1">
        <v>887.73</v>
      </c>
      <c r="I76" s="1">
        <v>838.73</v>
      </c>
      <c r="J76" s="1">
        <v>49</v>
      </c>
      <c r="K76" s="1" t="s">
        <v>32</v>
      </c>
      <c r="L76" s="1" t="s">
        <v>33</v>
      </c>
      <c r="M76" s="1" t="s">
        <v>37</v>
      </c>
      <c r="N76" s="1" t="s">
        <v>35</v>
      </c>
    </row>
    <row r="77" spans="1:14">
      <c r="A77" s="2">
        <v>45569</v>
      </c>
      <c r="B77" s="1" t="s">
        <v>43</v>
      </c>
      <c r="C77" s="1" t="s">
        <v>44</v>
      </c>
      <c r="D77" s="1" t="s">
        <v>42</v>
      </c>
      <c r="E77" s="1" t="s">
        <v>17</v>
      </c>
      <c r="F77" s="1">
        <v>3</v>
      </c>
      <c r="G77" s="1">
        <v>183.7</v>
      </c>
      <c r="H77" s="1">
        <v>551.1</v>
      </c>
      <c r="I77" s="1">
        <v>511.1</v>
      </c>
      <c r="J77" s="1">
        <v>40</v>
      </c>
      <c r="K77" s="1" t="s">
        <v>18</v>
      </c>
      <c r="L77" s="1" t="s">
        <v>26</v>
      </c>
      <c r="M77" s="1" t="s">
        <v>20</v>
      </c>
      <c r="N77" s="1" t="s">
        <v>21</v>
      </c>
    </row>
    <row r="78" spans="1:14">
      <c r="A78" s="2">
        <v>45416</v>
      </c>
      <c r="B78" s="1" t="s">
        <v>47</v>
      </c>
      <c r="C78" s="1" t="s">
        <v>44</v>
      </c>
      <c r="D78" s="1" t="s">
        <v>48</v>
      </c>
      <c r="E78" s="1" t="s">
        <v>24</v>
      </c>
      <c r="F78" s="1">
        <v>3</v>
      </c>
      <c r="G78" s="1">
        <v>269.45999999999998</v>
      </c>
      <c r="H78" s="1">
        <v>808.38</v>
      </c>
      <c r="I78" s="1">
        <v>748.38</v>
      </c>
      <c r="J78" s="1">
        <v>60</v>
      </c>
      <c r="K78" s="1" t="s">
        <v>25</v>
      </c>
      <c r="L78" s="1" t="s">
        <v>19</v>
      </c>
      <c r="M78" s="1" t="s">
        <v>27</v>
      </c>
      <c r="N78" s="1" t="s">
        <v>28</v>
      </c>
    </row>
    <row r="79" spans="1:14">
      <c r="A79" s="2">
        <v>45486</v>
      </c>
      <c r="B79" s="1" t="s">
        <v>47</v>
      </c>
      <c r="C79" s="1" t="s">
        <v>44</v>
      </c>
      <c r="D79" s="1" t="s">
        <v>23</v>
      </c>
      <c r="E79" s="1" t="s">
        <v>17</v>
      </c>
      <c r="F79" s="1">
        <v>4</v>
      </c>
      <c r="G79" s="1">
        <v>211.28</v>
      </c>
      <c r="H79" s="1">
        <v>845.12</v>
      </c>
      <c r="I79" s="1">
        <v>779.62</v>
      </c>
      <c r="J79" s="1">
        <v>65.5</v>
      </c>
      <c r="K79" s="1" t="s">
        <v>32</v>
      </c>
      <c r="L79" s="1" t="s">
        <v>26</v>
      </c>
      <c r="M79" s="1" t="s">
        <v>34</v>
      </c>
      <c r="N79" s="1" t="s">
        <v>35</v>
      </c>
    </row>
    <row r="80" spans="1:14">
      <c r="A80" s="2">
        <v>45490</v>
      </c>
      <c r="B80" s="1" t="s">
        <v>22</v>
      </c>
      <c r="C80" s="1" t="s">
        <v>15</v>
      </c>
      <c r="D80" s="1" t="s">
        <v>42</v>
      </c>
      <c r="E80" s="1" t="s">
        <v>24</v>
      </c>
      <c r="F80" s="1">
        <v>5</v>
      </c>
      <c r="G80" s="1">
        <v>362.47</v>
      </c>
      <c r="H80" s="1">
        <v>1812.35</v>
      </c>
      <c r="I80" s="1">
        <v>1763.35</v>
      </c>
      <c r="J80" s="1">
        <v>49</v>
      </c>
      <c r="K80" s="1" t="s">
        <v>18</v>
      </c>
      <c r="L80" s="1" t="s">
        <v>19</v>
      </c>
      <c r="M80" s="1" t="s">
        <v>37</v>
      </c>
      <c r="N80" s="1" t="s">
        <v>21</v>
      </c>
    </row>
    <row r="81" spans="1:14">
      <c r="A81" s="2">
        <v>45318</v>
      </c>
      <c r="B81" s="1" t="s">
        <v>51</v>
      </c>
      <c r="C81" s="1" t="s">
        <v>52</v>
      </c>
      <c r="D81" s="1" t="s">
        <v>48</v>
      </c>
      <c r="E81" s="1" t="s">
        <v>46</v>
      </c>
      <c r="F81" s="1">
        <v>8</v>
      </c>
      <c r="G81" s="1">
        <v>259.56</v>
      </c>
      <c r="H81" s="1">
        <v>2076.48</v>
      </c>
      <c r="I81" s="1">
        <v>2036.48</v>
      </c>
      <c r="J81" s="1">
        <v>40</v>
      </c>
      <c r="K81" s="1" t="s">
        <v>25</v>
      </c>
      <c r="L81" s="1" t="s">
        <v>19</v>
      </c>
      <c r="M81" s="1" t="s">
        <v>20</v>
      </c>
      <c r="N81" s="1" t="s">
        <v>28</v>
      </c>
    </row>
    <row r="82" spans="1:14">
      <c r="A82" s="2">
        <v>45330</v>
      </c>
      <c r="B82" s="1" t="s">
        <v>22</v>
      </c>
      <c r="C82" s="1" t="s">
        <v>15</v>
      </c>
      <c r="D82" s="1" t="s">
        <v>42</v>
      </c>
      <c r="E82" s="1" t="s">
        <v>46</v>
      </c>
      <c r="F82" s="1">
        <v>1</v>
      </c>
      <c r="G82" s="1">
        <v>134.63</v>
      </c>
      <c r="H82" s="1">
        <v>134.63</v>
      </c>
      <c r="I82" s="1">
        <v>74.63</v>
      </c>
      <c r="J82" s="1">
        <v>60</v>
      </c>
      <c r="K82" s="1" t="s">
        <v>32</v>
      </c>
      <c r="L82" s="1" t="s">
        <v>33</v>
      </c>
      <c r="M82" s="1" t="s">
        <v>27</v>
      </c>
      <c r="N82" s="1" t="s">
        <v>35</v>
      </c>
    </row>
    <row r="83" spans="1:14">
      <c r="A83" s="2">
        <v>45351</v>
      </c>
      <c r="B83" s="1" t="s">
        <v>47</v>
      </c>
      <c r="C83" s="1" t="s">
        <v>44</v>
      </c>
      <c r="D83" s="1" t="s">
        <v>48</v>
      </c>
      <c r="E83" s="1" t="s">
        <v>24</v>
      </c>
      <c r="F83" s="1">
        <v>10</v>
      </c>
      <c r="G83" s="1">
        <v>272.01</v>
      </c>
      <c r="H83" s="1">
        <v>2720.1</v>
      </c>
      <c r="I83" s="1">
        <v>2654.6</v>
      </c>
      <c r="J83" s="1">
        <v>65.5</v>
      </c>
      <c r="K83" s="1" t="s">
        <v>18</v>
      </c>
      <c r="L83" s="1" t="s">
        <v>26</v>
      </c>
      <c r="M83" s="1" t="s">
        <v>34</v>
      </c>
      <c r="N83" s="1" t="s">
        <v>21</v>
      </c>
    </row>
    <row r="84" spans="1:14">
      <c r="A84" s="2">
        <v>45473</v>
      </c>
      <c r="B84" s="1" t="s">
        <v>39</v>
      </c>
      <c r="C84" s="1" t="s">
        <v>40</v>
      </c>
      <c r="D84" s="1" t="s">
        <v>48</v>
      </c>
      <c r="E84" s="1" t="s">
        <v>46</v>
      </c>
      <c r="F84" s="1">
        <v>4</v>
      </c>
      <c r="G84" s="1">
        <v>265.89</v>
      </c>
      <c r="H84" s="1">
        <v>1063.56</v>
      </c>
      <c r="I84" s="1">
        <v>1014.56</v>
      </c>
      <c r="J84" s="1">
        <v>49</v>
      </c>
      <c r="K84" s="1" t="s">
        <v>25</v>
      </c>
      <c r="L84" s="1" t="s">
        <v>19</v>
      </c>
      <c r="M84" s="1" t="s">
        <v>37</v>
      </c>
      <c r="N84" s="1" t="s">
        <v>28</v>
      </c>
    </row>
    <row r="85" spans="1:14">
      <c r="A85" s="2">
        <v>45558</v>
      </c>
      <c r="B85" s="1" t="s">
        <v>43</v>
      </c>
      <c r="C85" s="1" t="s">
        <v>44</v>
      </c>
      <c r="D85" s="1" t="s">
        <v>16</v>
      </c>
      <c r="E85" s="1" t="s">
        <v>24</v>
      </c>
      <c r="F85" s="1">
        <v>4</v>
      </c>
      <c r="G85" s="1">
        <v>327.41000000000003</v>
      </c>
      <c r="H85" s="1">
        <v>1309.6400000000001</v>
      </c>
      <c r="I85" s="1">
        <v>1269.6400000000001</v>
      </c>
      <c r="J85" s="1">
        <v>40</v>
      </c>
      <c r="K85" s="1" t="s">
        <v>32</v>
      </c>
      <c r="L85" s="1" t="s">
        <v>19</v>
      </c>
      <c r="M85" s="1" t="s">
        <v>20</v>
      </c>
      <c r="N85" s="1" t="s">
        <v>35</v>
      </c>
    </row>
    <row r="86" spans="1:14">
      <c r="A86" s="2">
        <v>45309</v>
      </c>
      <c r="B86" s="1" t="s">
        <v>41</v>
      </c>
      <c r="C86" s="1" t="s">
        <v>30</v>
      </c>
      <c r="D86" s="1" t="s">
        <v>16</v>
      </c>
      <c r="E86" s="1" t="s">
        <v>17</v>
      </c>
      <c r="F86" s="1">
        <v>2</v>
      </c>
      <c r="G86" s="1">
        <v>395.91</v>
      </c>
      <c r="H86" s="1">
        <v>791.82</v>
      </c>
      <c r="I86" s="1">
        <v>731.82</v>
      </c>
      <c r="J86" s="1">
        <v>60</v>
      </c>
      <c r="K86" s="1" t="s">
        <v>18</v>
      </c>
      <c r="L86" s="1" t="s">
        <v>33</v>
      </c>
      <c r="M86" s="1" t="s">
        <v>27</v>
      </c>
      <c r="N86" s="1" t="s">
        <v>21</v>
      </c>
    </row>
    <row r="87" spans="1:14">
      <c r="A87" s="2">
        <v>45421</v>
      </c>
      <c r="B87" s="1" t="s">
        <v>45</v>
      </c>
      <c r="C87" s="1" t="s">
        <v>44</v>
      </c>
      <c r="D87" s="1" t="s">
        <v>23</v>
      </c>
      <c r="E87" s="1" t="s">
        <v>24</v>
      </c>
      <c r="F87" s="1">
        <v>10</v>
      </c>
      <c r="G87" s="1">
        <v>66.56</v>
      </c>
      <c r="H87" s="1">
        <v>665.6</v>
      </c>
      <c r="I87" s="1">
        <v>600.1</v>
      </c>
      <c r="J87" s="1">
        <v>65.5</v>
      </c>
      <c r="K87" s="1" t="s">
        <v>25</v>
      </c>
      <c r="L87" s="1" t="s">
        <v>26</v>
      </c>
      <c r="M87" s="1" t="s">
        <v>34</v>
      </c>
      <c r="N87" s="1" t="s">
        <v>28</v>
      </c>
    </row>
    <row r="88" spans="1:14">
      <c r="A88" s="2">
        <v>45469</v>
      </c>
      <c r="B88" s="1" t="s">
        <v>39</v>
      </c>
      <c r="C88" s="1" t="s">
        <v>40</v>
      </c>
      <c r="D88" s="1" t="s">
        <v>48</v>
      </c>
      <c r="E88" s="1" t="s">
        <v>31</v>
      </c>
      <c r="F88" s="1">
        <v>5</v>
      </c>
      <c r="G88" s="1">
        <v>432.3</v>
      </c>
      <c r="H88" s="1">
        <v>2161.5</v>
      </c>
      <c r="I88" s="1">
        <v>2112.5</v>
      </c>
      <c r="J88" s="1">
        <v>49</v>
      </c>
      <c r="K88" s="1" t="s">
        <v>32</v>
      </c>
      <c r="L88" s="1" t="s">
        <v>19</v>
      </c>
      <c r="M88" s="1" t="s">
        <v>37</v>
      </c>
      <c r="N88" s="1" t="s">
        <v>35</v>
      </c>
    </row>
    <row r="89" spans="1:14">
      <c r="A89" s="2">
        <v>45549</v>
      </c>
      <c r="B89" s="1" t="s">
        <v>38</v>
      </c>
      <c r="C89" s="1" t="s">
        <v>15</v>
      </c>
      <c r="D89" s="1" t="s">
        <v>42</v>
      </c>
      <c r="E89" s="1" t="s">
        <v>31</v>
      </c>
      <c r="F89" s="1">
        <v>7</v>
      </c>
      <c r="G89" s="1">
        <v>272.05</v>
      </c>
      <c r="H89" s="1">
        <v>1904.35</v>
      </c>
      <c r="I89" s="1">
        <v>1864.35</v>
      </c>
      <c r="J89" s="1">
        <v>40</v>
      </c>
      <c r="K89" s="1" t="s">
        <v>18</v>
      </c>
      <c r="L89" s="1" t="s">
        <v>19</v>
      </c>
      <c r="M89" s="1" t="s">
        <v>20</v>
      </c>
      <c r="N89" s="1" t="s">
        <v>21</v>
      </c>
    </row>
    <row r="90" spans="1:14">
      <c r="A90" s="2">
        <v>45484</v>
      </c>
      <c r="B90" s="1" t="s">
        <v>41</v>
      </c>
      <c r="C90" s="1" t="s">
        <v>30</v>
      </c>
      <c r="D90" s="1" t="s">
        <v>48</v>
      </c>
      <c r="E90" s="1" t="s">
        <v>46</v>
      </c>
      <c r="F90" s="1">
        <v>7</v>
      </c>
      <c r="G90" s="1">
        <v>301.27999999999997</v>
      </c>
      <c r="H90" s="1">
        <v>2108.96</v>
      </c>
      <c r="I90" s="1">
        <v>2048.96</v>
      </c>
      <c r="J90" s="1">
        <v>60</v>
      </c>
      <c r="K90" s="1" t="s">
        <v>25</v>
      </c>
      <c r="L90" s="1" t="s">
        <v>33</v>
      </c>
      <c r="M90" s="1" t="s">
        <v>27</v>
      </c>
      <c r="N90" s="1" t="s">
        <v>28</v>
      </c>
    </row>
    <row r="91" spans="1:14">
      <c r="A91" s="2">
        <v>45450</v>
      </c>
      <c r="B91" s="1" t="s">
        <v>38</v>
      </c>
      <c r="C91" s="1" t="s">
        <v>15</v>
      </c>
      <c r="D91" s="1" t="s">
        <v>42</v>
      </c>
      <c r="E91" s="1" t="s">
        <v>17</v>
      </c>
      <c r="F91" s="1">
        <v>9</v>
      </c>
      <c r="G91" s="1">
        <v>23.52</v>
      </c>
      <c r="H91" s="1">
        <v>211.68</v>
      </c>
      <c r="I91" s="1">
        <v>146.18</v>
      </c>
      <c r="J91" s="1">
        <v>65.5</v>
      </c>
      <c r="K91" s="1" t="s">
        <v>32</v>
      </c>
      <c r="L91" s="1" t="s">
        <v>19</v>
      </c>
      <c r="M91" s="1" t="s">
        <v>34</v>
      </c>
      <c r="N91" s="1" t="s">
        <v>35</v>
      </c>
    </row>
    <row r="92" spans="1:14">
      <c r="A92" s="2">
        <v>45491</v>
      </c>
      <c r="B92" s="1" t="s">
        <v>58</v>
      </c>
      <c r="C92" s="1" t="s">
        <v>52</v>
      </c>
      <c r="D92" s="1" t="s">
        <v>23</v>
      </c>
      <c r="E92" s="1" t="s">
        <v>17</v>
      </c>
      <c r="F92" s="1">
        <v>6</v>
      </c>
      <c r="G92" s="1">
        <v>281.85000000000002</v>
      </c>
      <c r="H92" s="1">
        <v>1691.1</v>
      </c>
      <c r="I92" s="1">
        <v>1642.1</v>
      </c>
      <c r="J92" s="1">
        <v>49</v>
      </c>
      <c r="K92" s="1" t="s">
        <v>18</v>
      </c>
      <c r="L92" s="1" t="s">
        <v>26</v>
      </c>
      <c r="M92" s="1" t="s">
        <v>37</v>
      </c>
      <c r="N92" s="1" t="s">
        <v>21</v>
      </c>
    </row>
    <row r="93" spans="1:14">
      <c r="A93" s="2">
        <v>45489</v>
      </c>
      <c r="B93" s="1" t="s">
        <v>14</v>
      </c>
      <c r="C93" s="1" t="s">
        <v>15</v>
      </c>
      <c r="D93" s="1" t="s">
        <v>48</v>
      </c>
      <c r="E93" s="1" t="s">
        <v>31</v>
      </c>
      <c r="F93" s="1">
        <v>6</v>
      </c>
      <c r="G93" s="1">
        <v>157.88</v>
      </c>
      <c r="H93" s="1">
        <v>947.28</v>
      </c>
      <c r="I93" s="1">
        <v>907.28</v>
      </c>
      <c r="J93" s="1">
        <v>40</v>
      </c>
      <c r="K93" s="1" t="s">
        <v>25</v>
      </c>
      <c r="L93" s="1" t="s">
        <v>33</v>
      </c>
      <c r="M93" s="1" t="s">
        <v>20</v>
      </c>
      <c r="N93" s="1" t="s">
        <v>28</v>
      </c>
    </row>
    <row r="94" spans="1:14">
      <c r="A94" s="2">
        <v>45566</v>
      </c>
      <c r="B94" s="1" t="s">
        <v>58</v>
      </c>
      <c r="C94" s="1" t="s">
        <v>52</v>
      </c>
      <c r="D94" s="1" t="s">
        <v>23</v>
      </c>
      <c r="E94" s="1" t="s">
        <v>17</v>
      </c>
      <c r="F94" s="1">
        <v>7</v>
      </c>
      <c r="G94" s="1">
        <v>98.66</v>
      </c>
      <c r="H94" s="1">
        <v>690.62</v>
      </c>
      <c r="I94" s="1">
        <v>630.62</v>
      </c>
      <c r="J94" s="1">
        <v>60</v>
      </c>
      <c r="K94" s="1" t="s">
        <v>32</v>
      </c>
      <c r="L94" s="1" t="s">
        <v>19</v>
      </c>
      <c r="M94" s="1" t="s">
        <v>27</v>
      </c>
      <c r="N94" s="1" t="s">
        <v>35</v>
      </c>
    </row>
    <row r="95" spans="1:14">
      <c r="A95" s="2">
        <v>45359</v>
      </c>
      <c r="B95" s="1" t="s">
        <v>58</v>
      </c>
      <c r="C95" s="1" t="s">
        <v>52</v>
      </c>
      <c r="D95" s="1" t="s">
        <v>42</v>
      </c>
      <c r="E95" s="1" t="s">
        <v>31</v>
      </c>
      <c r="F95" s="1">
        <v>2</v>
      </c>
      <c r="G95" s="1">
        <v>37.119999999999997</v>
      </c>
      <c r="H95" s="1">
        <v>74.239999999999995</v>
      </c>
      <c r="I95" s="1">
        <v>8.7399999999999949</v>
      </c>
      <c r="J95" s="1">
        <v>65.5</v>
      </c>
      <c r="K95" s="1" t="s">
        <v>18</v>
      </c>
      <c r="L95" s="1" t="s">
        <v>26</v>
      </c>
      <c r="M95" s="1" t="s">
        <v>34</v>
      </c>
      <c r="N95" s="1" t="s">
        <v>21</v>
      </c>
    </row>
    <row r="96" spans="1:14">
      <c r="A96" s="2">
        <v>45561</v>
      </c>
      <c r="B96" s="1" t="s">
        <v>53</v>
      </c>
      <c r="C96" s="1" t="s">
        <v>40</v>
      </c>
      <c r="D96" s="1" t="s">
        <v>42</v>
      </c>
      <c r="E96" s="1" t="s">
        <v>17</v>
      </c>
      <c r="F96" s="1">
        <v>9</v>
      </c>
      <c r="G96" s="1">
        <v>191.38</v>
      </c>
      <c r="H96" s="1">
        <v>1722.42</v>
      </c>
      <c r="I96" s="1">
        <v>1673.42</v>
      </c>
      <c r="J96" s="1">
        <v>49</v>
      </c>
      <c r="K96" s="1" t="s">
        <v>25</v>
      </c>
      <c r="L96" s="1" t="s">
        <v>33</v>
      </c>
      <c r="M96" s="1" t="s">
        <v>37</v>
      </c>
      <c r="N96" s="1" t="s">
        <v>28</v>
      </c>
    </row>
    <row r="97" spans="1:14">
      <c r="A97" s="2">
        <v>45403</v>
      </c>
      <c r="B97" s="1" t="s">
        <v>50</v>
      </c>
      <c r="C97" s="1" t="s">
        <v>40</v>
      </c>
      <c r="D97" s="1" t="s">
        <v>48</v>
      </c>
      <c r="E97" s="1" t="s">
        <v>24</v>
      </c>
      <c r="F97" s="1">
        <v>2</v>
      </c>
      <c r="G97" s="1">
        <v>301.12</v>
      </c>
      <c r="H97" s="1">
        <v>602.24</v>
      </c>
      <c r="I97" s="1">
        <v>562.24</v>
      </c>
      <c r="J97" s="1">
        <v>40</v>
      </c>
      <c r="K97" s="1" t="s">
        <v>32</v>
      </c>
      <c r="L97" s="1" t="s">
        <v>19</v>
      </c>
      <c r="M97" s="1" t="s">
        <v>20</v>
      </c>
      <c r="N97" s="1" t="s">
        <v>35</v>
      </c>
    </row>
    <row r="98" spans="1:14">
      <c r="A98" s="2">
        <v>45537</v>
      </c>
      <c r="B98" s="1" t="s">
        <v>56</v>
      </c>
      <c r="C98" s="1" t="s">
        <v>52</v>
      </c>
      <c r="D98" s="1" t="s">
        <v>49</v>
      </c>
      <c r="E98" s="1" t="s">
        <v>46</v>
      </c>
      <c r="F98" s="1">
        <v>4</v>
      </c>
      <c r="G98" s="1">
        <v>415.24</v>
      </c>
      <c r="H98" s="1">
        <v>1660.96</v>
      </c>
      <c r="I98" s="1">
        <v>1600.96</v>
      </c>
      <c r="J98" s="1">
        <v>60</v>
      </c>
      <c r="K98" s="1" t="s">
        <v>18</v>
      </c>
      <c r="L98" s="1" t="s">
        <v>19</v>
      </c>
      <c r="M98" s="1" t="s">
        <v>27</v>
      </c>
      <c r="N98" s="1" t="s">
        <v>21</v>
      </c>
    </row>
    <row r="99" spans="1:14">
      <c r="A99" s="2">
        <v>45321</v>
      </c>
      <c r="B99" s="1" t="s">
        <v>50</v>
      </c>
      <c r="C99" s="1" t="s">
        <v>40</v>
      </c>
      <c r="D99" s="1" t="s">
        <v>42</v>
      </c>
      <c r="E99" s="1" t="s">
        <v>17</v>
      </c>
      <c r="F99" s="1">
        <v>3</v>
      </c>
      <c r="G99" s="1">
        <v>115.83</v>
      </c>
      <c r="H99" s="1">
        <v>347.49</v>
      </c>
      <c r="I99" s="1">
        <v>281.99</v>
      </c>
      <c r="J99" s="1">
        <v>65.5</v>
      </c>
      <c r="K99" s="1" t="s">
        <v>25</v>
      </c>
      <c r="L99" s="1" t="s">
        <v>26</v>
      </c>
      <c r="M99" s="1" t="s">
        <v>34</v>
      </c>
      <c r="N99" s="1" t="s">
        <v>28</v>
      </c>
    </row>
    <row r="100" spans="1:14">
      <c r="A100" s="2">
        <v>45311</v>
      </c>
      <c r="B100" s="1" t="s">
        <v>59</v>
      </c>
      <c r="C100" s="1" t="s">
        <v>30</v>
      </c>
      <c r="D100" s="1" t="s">
        <v>42</v>
      </c>
      <c r="E100" s="1" t="s">
        <v>46</v>
      </c>
      <c r="F100" s="1">
        <v>6</v>
      </c>
      <c r="G100" s="1">
        <v>229.86</v>
      </c>
      <c r="H100" s="1">
        <v>1379.16</v>
      </c>
      <c r="I100" s="1">
        <v>1330.16</v>
      </c>
      <c r="J100" s="1">
        <v>49</v>
      </c>
      <c r="K100" s="1" t="s">
        <v>32</v>
      </c>
      <c r="L100" s="1" t="s">
        <v>19</v>
      </c>
      <c r="M100" s="1" t="s">
        <v>37</v>
      </c>
      <c r="N100" s="1" t="s">
        <v>35</v>
      </c>
    </row>
    <row r="101" spans="1:14">
      <c r="A101" s="2">
        <v>45552</v>
      </c>
      <c r="B101" s="1" t="s">
        <v>45</v>
      </c>
      <c r="C101" s="1" t="s">
        <v>44</v>
      </c>
      <c r="D101" s="1" t="s">
        <v>48</v>
      </c>
      <c r="E101" s="1" t="s">
        <v>31</v>
      </c>
      <c r="F101" s="1">
        <v>10</v>
      </c>
      <c r="G101" s="1">
        <v>98.84</v>
      </c>
      <c r="H101" s="1">
        <v>988.4</v>
      </c>
      <c r="I101" s="1">
        <v>948.4</v>
      </c>
      <c r="J101" s="1">
        <v>40</v>
      </c>
      <c r="K101" s="1" t="s">
        <v>18</v>
      </c>
      <c r="L101" s="1" t="s">
        <v>33</v>
      </c>
      <c r="M101" s="1" t="s">
        <v>20</v>
      </c>
      <c r="N101" s="1" t="s">
        <v>21</v>
      </c>
    </row>
    <row r="102" spans="1:14">
      <c r="A102" s="2">
        <v>45538</v>
      </c>
      <c r="B102" s="1" t="s">
        <v>60</v>
      </c>
      <c r="C102" s="1" t="s">
        <v>52</v>
      </c>
      <c r="D102" s="1" t="s">
        <v>48</v>
      </c>
      <c r="E102" s="1" t="s">
        <v>24</v>
      </c>
      <c r="F102" s="1">
        <v>10</v>
      </c>
      <c r="G102" s="1">
        <v>200.83</v>
      </c>
      <c r="H102" s="1">
        <v>2008.3</v>
      </c>
      <c r="I102" s="1">
        <v>1948.3</v>
      </c>
      <c r="J102" s="1">
        <v>60</v>
      </c>
      <c r="K102" s="1" t="s">
        <v>25</v>
      </c>
      <c r="L102" s="1" t="s">
        <v>26</v>
      </c>
      <c r="M102" s="1" t="s">
        <v>27</v>
      </c>
      <c r="N102" s="1" t="s">
        <v>28</v>
      </c>
    </row>
    <row r="103" spans="1:14">
      <c r="A103" s="2">
        <v>45633</v>
      </c>
      <c r="B103" s="1" t="s">
        <v>38</v>
      </c>
      <c r="C103" s="1" t="s">
        <v>15</v>
      </c>
      <c r="D103" s="1" t="s">
        <v>23</v>
      </c>
      <c r="E103" s="1" t="s">
        <v>46</v>
      </c>
      <c r="F103" s="1">
        <v>1</v>
      </c>
      <c r="G103" s="1">
        <v>310.54000000000002</v>
      </c>
      <c r="H103" s="1">
        <v>310.54000000000002</v>
      </c>
      <c r="I103" s="1">
        <v>245.04000000000002</v>
      </c>
      <c r="J103" s="1">
        <v>65.5</v>
      </c>
      <c r="K103" s="1" t="s">
        <v>32</v>
      </c>
      <c r="L103" s="1" t="s">
        <v>19</v>
      </c>
      <c r="M103" s="1" t="s">
        <v>34</v>
      </c>
      <c r="N103" s="1" t="s">
        <v>35</v>
      </c>
    </row>
    <row r="104" spans="1:14">
      <c r="A104" s="2">
        <v>45444</v>
      </c>
      <c r="B104" s="1" t="s">
        <v>39</v>
      </c>
      <c r="C104" s="1" t="s">
        <v>40</v>
      </c>
      <c r="D104" s="1" t="s">
        <v>48</v>
      </c>
      <c r="E104" s="1" t="s">
        <v>24</v>
      </c>
      <c r="F104" s="1">
        <v>8</v>
      </c>
      <c r="G104" s="1">
        <v>228.57</v>
      </c>
      <c r="H104" s="1">
        <v>1828.56</v>
      </c>
      <c r="I104" s="1">
        <v>1779.56</v>
      </c>
      <c r="J104" s="1">
        <v>49</v>
      </c>
      <c r="K104" s="1" t="s">
        <v>18</v>
      </c>
      <c r="L104" s="1" t="s">
        <v>33</v>
      </c>
      <c r="M104" s="1" t="s">
        <v>37</v>
      </c>
      <c r="N104" s="1" t="s">
        <v>21</v>
      </c>
    </row>
    <row r="105" spans="1:14">
      <c r="A105" s="2">
        <v>45532</v>
      </c>
      <c r="B105" s="1" t="s">
        <v>43</v>
      </c>
      <c r="C105" s="1" t="s">
        <v>44</v>
      </c>
      <c r="D105" s="1" t="s">
        <v>49</v>
      </c>
      <c r="E105" s="1" t="s">
        <v>31</v>
      </c>
      <c r="F105" s="1">
        <v>2</v>
      </c>
      <c r="G105" s="1">
        <v>495.03</v>
      </c>
      <c r="H105" s="1">
        <v>990.06</v>
      </c>
      <c r="I105" s="1">
        <v>950.06</v>
      </c>
      <c r="J105" s="1">
        <v>40</v>
      </c>
      <c r="K105" s="1" t="s">
        <v>25</v>
      </c>
      <c r="L105" s="1" t="s">
        <v>19</v>
      </c>
      <c r="M105" s="1" t="s">
        <v>20</v>
      </c>
      <c r="N105" s="1" t="s">
        <v>28</v>
      </c>
    </row>
    <row r="106" spans="1:14">
      <c r="A106" s="2">
        <v>45409</v>
      </c>
      <c r="B106" s="1" t="s">
        <v>59</v>
      </c>
      <c r="C106" s="1" t="s">
        <v>30</v>
      </c>
      <c r="D106" s="1" t="s">
        <v>48</v>
      </c>
      <c r="E106" s="1" t="s">
        <v>46</v>
      </c>
      <c r="F106" s="1">
        <v>7</v>
      </c>
      <c r="G106" s="1">
        <v>75.27</v>
      </c>
      <c r="H106" s="1">
        <v>526.89</v>
      </c>
      <c r="I106" s="1">
        <v>466.89</v>
      </c>
      <c r="J106" s="1">
        <v>60</v>
      </c>
      <c r="K106" s="1" t="s">
        <v>32</v>
      </c>
      <c r="L106" s="1" t="s">
        <v>26</v>
      </c>
      <c r="M106" s="1" t="s">
        <v>27</v>
      </c>
      <c r="N106" s="1" t="s">
        <v>35</v>
      </c>
    </row>
    <row r="107" spans="1:14">
      <c r="A107" s="2">
        <v>45364</v>
      </c>
      <c r="B107" s="1" t="s">
        <v>29</v>
      </c>
      <c r="C107" s="1" t="s">
        <v>30</v>
      </c>
      <c r="D107" s="1" t="s">
        <v>23</v>
      </c>
      <c r="E107" s="1" t="s">
        <v>17</v>
      </c>
      <c r="F107" s="1">
        <v>6</v>
      </c>
      <c r="G107" s="1">
        <v>156.28</v>
      </c>
      <c r="H107" s="1">
        <v>937.68</v>
      </c>
      <c r="I107" s="1">
        <v>872.18</v>
      </c>
      <c r="J107" s="1">
        <v>65.5</v>
      </c>
      <c r="K107" s="1" t="s">
        <v>18</v>
      </c>
      <c r="L107" s="1" t="s">
        <v>19</v>
      </c>
      <c r="M107" s="1" t="s">
        <v>34</v>
      </c>
      <c r="N107" s="1" t="s">
        <v>21</v>
      </c>
    </row>
    <row r="108" spans="1:14">
      <c r="A108" s="2">
        <v>45536</v>
      </c>
      <c r="B108" s="1" t="s">
        <v>39</v>
      </c>
      <c r="C108" s="1" t="s">
        <v>40</v>
      </c>
      <c r="D108" s="1" t="s">
        <v>42</v>
      </c>
      <c r="E108" s="1" t="s">
        <v>46</v>
      </c>
      <c r="F108" s="1">
        <v>5</v>
      </c>
      <c r="G108" s="1">
        <v>273.58</v>
      </c>
      <c r="H108" s="1">
        <v>1367.9</v>
      </c>
      <c r="I108" s="1">
        <v>1318.9</v>
      </c>
      <c r="J108" s="1">
        <v>49</v>
      </c>
      <c r="K108" s="1" t="s">
        <v>25</v>
      </c>
      <c r="L108" s="1" t="s">
        <v>33</v>
      </c>
      <c r="M108" s="1" t="s">
        <v>37</v>
      </c>
      <c r="N108" s="1" t="s">
        <v>28</v>
      </c>
    </row>
    <row r="109" spans="1:14">
      <c r="A109" s="2">
        <v>45395</v>
      </c>
      <c r="B109" s="1" t="s">
        <v>14</v>
      </c>
      <c r="C109" s="1" t="s">
        <v>15</v>
      </c>
      <c r="D109" s="1" t="s">
        <v>48</v>
      </c>
      <c r="E109" s="1" t="s">
        <v>24</v>
      </c>
      <c r="F109" s="1">
        <v>9</v>
      </c>
      <c r="G109" s="1">
        <v>393.82</v>
      </c>
      <c r="H109" s="1">
        <v>3544.38</v>
      </c>
      <c r="I109" s="1">
        <v>3504.38</v>
      </c>
      <c r="J109" s="1">
        <v>40</v>
      </c>
      <c r="K109" s="1" t="s">
        <v>32</v>
      </c>
      <c r="L109" s="1" t="s">
        <v>19</v>
      </c>
      <c r="M109" s="1" t="s">
        <v>20</v>
      </c>
      <c r="N109" s="1" t="s">
        <v>35</v>
      </c>
    </row>
    <row r="110" spans="1:14">
      <c r="A110" s="2">
        <v>45489</v>
      </c>
      <c r="B110" s="1" t="s">
        <v>47</v>
      </c>
      <c r="C110" s="1" t="s">
        <v>44</v>
      </c>
      <c r="D110" s="1" t="s">
        <v>49</v>
      </c>
      <c r="E110" s="1" t="s">
        <v>31</v>
      </c>
      <c r="F110" s="1">
        <v>5</v>
      </c>
      <c r="G110" s="1">
        <v>439.15</v>
      </c>
      <c r="H110" s="1">
        <v>2195.75</v>
      </c>
      <c r="I110" s="1">
        <v>2135.75</v>
      </c>
      <c r="J110" s="1">
        <v>60</v>
      </c>
      <c r="K110" s="1" t="s">
        <v>18</v>
      </c>
      <c r="L110" s="1" t="s">
        <v>26</v>
      </c>
      <c r="M110" s="1" t="s">
        <v>27</v>
      </c>
      <c r="N110" s="1" t="s">
        <v>21</v>
      </c>
    </row>
    <row r="111" spans="1:14">
      <c r="A111" s="2">
        <v>45314</v>
      </c>
      <c r="B111" s="1" t="s">
        <v>47</v>
      </c>
      <c r="C111" s="1" t="s">
        <v>44</v>
      </c>
      <c r="D111" s="1" t="s">
        <v>49</v>
      </c>
      <c r="E111" s="1" t="s">
        <v>31</v>
      </c>
      <c r="F111" s="1">
        <v>5</v>
      </c>
      <c r="G111" s="1">
        <v>417.04</v>
      </c>
      <c r="H111" s="1">
        <v>2085.1999999999998</v>
      </c>
      <c r="I111" s="1">
        <v>2019.6999999999998</v>
      </c>
      <c r="J111" s="1">
        <v>65.5</v>
      </c>
      <c r="K111" s="1" t="s">
        <v>25</v>
      </c>
      <c r="L111" s="1" t="s">
        <v>19</v>
      </c>
      <c r="M111" s="1" t="s">
        <v>34</v>
      </c>
      <c r="N111" s="1" t="s">
        <v>28</v>
      </c>
    </row>
    <row r="112" spans="1:14">
      <c r="A112" s="2">
        <v>45318</v>
      </c>
      <c r="B112" s="1" t="s">
        <v>47</v>
      </c>
      <c r="C112" s="1" t="s">
        <v>44</v>
      </c>
      <c r="D112" s="1" t="s">
        <v>42</v>
      </c>
      <c r="E112" s="1" t="s">
        <v>24</v>
      </c>
      <c r="F112" s="1">
        <v>7</v>
      </c>
      <c r="G112" s="1">
        <v>178.61</v>
      </c>
      <c r="H112" s="1">
        <v>1250.27</v>
      </c>
      <c r="I112" s="1">
        <v>1201.27</v>
      </c>
      <c r="J112" s="1">
        <v>49</v>
      </c>
      <c r="K112" s="1" t="s">
        <v>32</v>
      </c>
      <c r="L112" s="1" t="s">
        <v>33</v>
      </c>
      <c r="M112" s="1" t="s">
        <v>37</v>
      </c>
      <c r="N112" s="1" t="s">
        <v>35</v>
      </c>
    </row>
    <row r="113" spans="1:14">
      <c r="A113" s="2">
        <v>45466</v>
      </c>
      <c r="B113" s="1" t="s">
        <v>56</v>
      </c>
      <c r="C113" s="1" t="s">
        <v>52</v>
      </c>
      <c r="D113" s="1" t="s">
        <v>42</v>
      </c>
      <c r="E113" s="1" t="s">
        <v>17</v>
      </c>
      <c r="F113" s="1">
        <v>7</v>
      </c>
      <c r="G113" s="1">
        <v>161.06</v>
      </c>
      <c r="H113" s="1">
        <v>1127.42</v>
      </c>
      <c r="I113" s="1">
        <v>1087.42</v>
      </c>
      <c r="J113" s="1">
        <v>40</v>
      </c>
      <c r="K113" s="1" t="s">
        <v>18</v>
      </c>
      <c r="L113" s="1" t="s">
        <v>19</v>
      </c>
      <c r="M113" s="1" t="s">
        <v>20</v>
      </c>
      <c r="N113" s="1" t="s">
        <v>21</v>
      </c>
    </row>
    <row r="114" spans="1:14">
      <c r="A114" s="2">
        <v>45627</v>
      </c>
      <c r="B114" s="1" t="s">
        <v>45</v>
      </c>
      <c r="C114" s="1" t="s">
        <v>44</v>
      </c>
      <c r="D114" s="1" t="s">
        <v>23</v>
      </c>
      <c r="E114" s="1" t="s">
        <v>46</v>
      </c>
      <c r="F114" s="1">
        <v>4</v>
      </c>
      <c r="G114" s="1">
        <v>23.62</v>
      </c>
      <c r="H114" s="1">
        <v>94.48</v>
      </c>
      <c r="I114" s="1">
        <v>34.480000000000004</v>
      </c>
      <c r="J114" s="1">
        <v>60</v>
      </c>
      <c r="K114" s="1" t="s">
        <v>25</v>
      </c>
      <c r="L114" s="1" t="s">
        <v>26</v>
      </c>
      <c r="M114" s="1" t="s">
        <v>27</v>
      </c>
      <c r="N114" s="1" t="s">
        <v>28</v>
      </c>
    </row>
    <row r="115" spans="1:14">
      <c r="A115" s="2">
        <v>45373</v>
      </c>
      <c r="B115" s="1" t="s">
        <v>39</v>
      </c>
      <c r="C115" s="1" t="s">
        <v>40</v>
      </c>
      <c r="D115" s="1" t="s">
        <v>16</v>
      </c>
      <c r="E115" s="1" t="s">
        <v>24</v>
      </c>
      <c r="F115" s="1">
        <v>1</v>
      </c>
      <c r="G115" s="1">
        <v>340.59</v>
      </c>
      <c r="H115" s="1">
        <v>340.59</v>
      </c>
      <c r="I115" s="1">
        <v>275.08999999999997</v>
      </c>
      <c r="J115" s="1">
        <v>65.5</v>
      </c>
      <c r="K115" s="1" t="s">
        <v>32</v>
      </c>
      <c r="L115" s="1" t="s">
        <v>33</v>
      </c>
      <c r="M115" s="1" t="s">
        <v>34</v>
      </c>
      <c r="N115" s="1" t="s">
        <v>35</v>
      </c>
    </row>
    <row r="116" spans="1:14">
      <c r="A116" s="2">
        <v>45389</v>
      </c>
      <c r="B116" s="1" t="s">
        <v>53</v>
      </c>
      <c r="C116" s="1" t="s">
        <v>40</v>
      </c>
      <c r="D116" s="1" t="s">
        <v>16</v>
      </c>
      <c r="E116" s="1" t="s">
        <v>17</v>
      </c>
      <c r="F116" s="1">
        <v>2</v>
      </c>
      <c r="G116" s="1">
        <v>362.31</v>
      </c>
      <c r="H116" s="1">
        <v>724.62</v>
      </c>
      <c r="I116" s="1">
        <v>675.62</v>
      </c>
      <c r="J116" s="1">
        <v>49</v>
      </c>
      <c r="K116" s="1" t="s">
        <v>18</v>
      </c>
      <c r="L116" s="1" t="s">
        <v>19</v>
      </c>
      <c r="M116" s="1" t="s">
        <v>37</v>
      </c>
      <c r="N116" s="1" t="s">
        <v>21</v>
      </c>
    </row>
    <row r="117" spans="1:14">
      <c r="A117" s="2">
        <v>45380</v>
      </c>
      <c r="B117" s="1" t="s">
        <v>55</v>
      </c>
      <c r="C117" s="1" t="s">
        <v>44</v>
      </c>
      <c r="D117" s="1" t="s">
        <v>42</v>
      </c>
      <c r="E117" s="1" t="s">
        <v>31</v>
      </c>
      <c r="F117" s="1">
        <v>8</v>
      </c>
      <c r="G117" s="1">
        <v>418.71</v>
      </c>
      <c r="H117" s="1">
        <v>3349.68</v>
      </c>
      <c r="I117" s="1">
        <v>3309.68</v>
      </c>
      <c r="J117" s="1">
        <v>40</v>
      </c>
      <c r="K117" s="1" t="s">
        <v>25</v>
      </c>
      <c r="L117" s="1" t="s">
        <v>26</v>
      </c>
      <c r="M117" s="1" t="s">
        <v>20</v>
      </c>
      <c r="N117" s="1" t="s">
        <v>28</v>
      </c>
    </row>
    <row r="118" spans="1:14">
      <c r="A118" s="2">
        <v>45304</v>
      </c>
      <c r="B118" s="1" t="s">
        <v>29</v>
      </c>
      <c r="C118" s="1" t="s">
        <v>30</v>
      </c>
      <c r="D118" s="1" t="s">
        <v>16</v>
      </c>
      <c r="E118" s="1" t="s">
        <v>46</v>
      </c>
      <c r="F118" s="1">
        <v>6</v>
      </c>
      <c r="G118" s="1">
        <v>111.13</v>
      </c>
      <c r="H118" s="1">
        <v>666.78</v>
      </c>
      <c r="I118" s="1">
        <v>606.78</v>
      </c>
      <c r="J118" s="1">
        <v>60</v>
      </c>
      <c r="K118" s="1" t="s">
        <v>32</v>
      </c>
      <c r="L118" s="1" t="s">
        <v>19</v>
      </c>
      <c r="M118" s="1" t="s">
        <v>27</v>
      </c>
      <c r="N118" s="1" t="s">
        <v>35</v>
      </c>
    </row>
    <row r="119" spans="1:14">
      <c r="A119" s="2">
        <v>45636</v>
      </c>
      <c r="B119" s="1" t="s">
        <v>55</v>
      </c>
      <c r="C119" s="1" t="s">
        <v>44</v>
      </c>
      <c r="D119" s="1" t="s">
        <v>42</v>
      </c>
      <c r="E119" s="1" t="s">
        <v>31</v>
      </c>
      <c r="F119" s="1">
        <v>9</v>
      </c>
      <c r="G119" s="1">
        <v>484.72</v>
      </c>
      <c r="H119" s="1">
        <v>4362.4799999999996</v>
      </c>
      <c r="I119" s="1">
        <v>4296.9799999999996</v>
      </c>
      <c r="J119" s="1">
        <v>65.5</v>
      </c>
      <c r="K119" s="1" t="s">
        <v>18</v>
      </c>
      <c r="L119" s="1" t="s">
        <v>19</v>
      </c>
      <c r="M119" s="1" t="s">
        <v>34</v>
      </c>
      <c r="N119" s="1" t="s">
        <v>21</v>
      </c>
    </row>
    <row r="120" spans="1:14">
      <c r="A120" s="2">
        <v>45605</v>
      </c>
      <c r="B120" s="1" t="s">
        <v>41</v>
      </c>
      <c r="C120" s="1" t="s">
        <v>30</v>
      </c>
      <c r="D120" s="1" t="s">
        <v>42</v>
      </c>
      <c r="E120" s="1" t="s">
        <v>24</v>
      </c>
      <c r="F120" s="1">
        <v>1</v>
      </c>
      <c r="G120" s="1">
        <v>67.53</v>
      </c>
      <c r="H120" s="1">
        <v>67.53</v>
      </c>
      <c r="I120" s="1">
        <v>18.53</v>
      </c>
      <c r="J120" s="1">
        <v>49</v>
      </c>
      <c r="K120" s="1" t="s">
        <v>25</v>
      </c>
      <c r="L120" s="1" t="s">
        <v>26</v>
      </c>
      <c r="M120" s="1" t="s">
        <v>37</v>
      </c>
      <c r="N120" s="1" t="s">
        <v>28</v>
      </c>
    </row>
    <row r="121" spans="1:14">
      <c r="A121" s="2">
        <v>45380</v>
      </c>
      <c r="B121" s="1" t="s">
        <v>54</v>
      </c>
      <c r="C121" s="1" t="s">
        <v>40</v>
      </c>
      <c r="D121" s="1" t="s">
        <v>42</v>
      </c>
      <c r="E121" s="1" t="s">
        <v>24</v>
      </c>
      <c r="F121" s="1">
        <v>2</v>
      </c>
      <c r="G121" s="1">
        <v>368.03</v>
      </c>
      <c r="H121" s="1">
        <v>736.06</v>
      </c>
      <c r="I121" s="1">
        <v>696.06</v>
      </c>
      <c r="J121" s="1">
        <v>40</v>
      </c>
      <c r="K121" s="1" t="s">
        <v>32</v>
      </c>
      <c r="L121" s="1" t="s">
        <v>19</v>
      </c>
      <c r="M121" s="1" t="s">
        <v>20</v>
      </c>
      <c r="N121" s="1" t="s">
        <v>35</v>
      </c>
    </row>
    <row r="122" spans="1:14">
      <c r="A122" s="2">
        <v>45372</v>
      </c>
      <c r="B122" s="1" t="s">
        <v>38</v>
      </c>
      <c r="C122" s="1" t="s">
        <v>15</v>
      </c>
      <c r="D122" s="1" t="s">
        <v>49</v>
      </c>
      <c r="E122" s="1" t="s">
        <v>24</v>
      </c>
      <c r="F122" s="1">
        <v>1</v>
      </c>
      <c r="G122" s="1">
        <v>372.87</v>
      </c>
      <c r="H122" s="1">
        <v>372.87</v>
      </c>
      <c r="I122" s="1">
        <v>312.87</v>
      </c>
      <c r="J122" s="1">
        <v>60</v>
      </c>
      <c r="K122" s="1" t="s">
        <v>18</v>
      </c>
      <c r="L122" s="1" t="s">
        <v>33</v>
      </c>
      <c r="M122" s="1" t="s">
        <v>27</v>
      </c>
      <c r="N122" s="1" t="s">
        <v>21</v>
      </c>
    </row>
    <row r="123" spans="1:14">
      <c r="A123" s="2">
        <v>45329</v>
      </c>
      <c r="B123" s="1" t="s">
        <v>14</v>
      </c>
      <c r="C123" s="1" t="s">
        <v>15</v>
      </c>
      <c r="D123" s="1" t="s">
        <v>42</v>
      </c>
      <c r="E123" s="1" t="s">
        <v>46</v>
      </c>
      <c r="F123" s="1">
        <v>10</v>
      </c>
      <c r="G123" s="1">
        <v>51.96</v>
      </c>
      <c r="H123" s="1">
        <v>519.6</v>
      </c>
      <c r="I123" s="1">
        <v>454.1</v>
      </c>
      <c r="J123" s="1">
        <v>65.5</v>
      </c>
      <c r="K123" s="1" t="s">
        <v>25</v>
      </c>
      <c r="L123" s="1" t="s">
        <v>26</v>
      </c>
      <c r="M123" s="1" t="s">
        <v>34</v>
      </c>
      <c r="N123" s="1" t="s">
        <v>28</v>
      </c>
    </row>
    <row r="124" spans="1:14">
      <c r="A124" s="2">
        <v>45449</v>
      </c>
      <c r="B124" s="1" t="s">
        <v>56</v>
      </c>
      <c r="C124" s="1" t="s">
        <v>52</v>
      </c>
      <c r="D124" s="1" t="s">
        <v>48</v>
      </c>
      <c r="E124" s="1" t="s">
        <v>24</v>
      </c>
      <c r="F124" s="1">
        <v>8</v>
      </c>
      <c r="G124" s="1">
        <v>434.36</v>
      </c>
      <c r="H124" s="1">
        <v>3474.88</v>
      </c>
      <c r="I124" s="1">
        <v>3425.88</v>
      </c>
      <c r="J124" s="1">
        <v>49</v>
      </c>
      <c r="K124" s="1" t="s">
        <v>32</v>
      </c>
      <c r="L124" s="1" t="s">
        <v>19</v>
      </c>
      <c r="M124" s="1" t="s">
        <v>37</v>
      </c>
      <c r="N124" s="1" t="s">
        <v>35</v>
      </c>
    </row>
    <row r="125" spans="1:14">
      <c r="A125" s="2">
        <v>45423</v>
      </c>
      <c r="B125" s="1" t="s">
        <v>57</v>
      </c>
      <c r="C125" s="1" t="s">
        <v>30</v>
      </c>
      <c r="D125" s="1" t="s">
        <v>23</v>
      </c>
      <c r="E125" s="1" t="s">
        <v>31</v>
      </c>
      <c r="F125" s="1">
        <v>3</v>
      </c>
      <c r="G125" s="1">
        <v>400.96</v>
      </c>
      <c r="H125" s="1">
        <v>1202.8800000000001</v>
      </c>
      <c r="I125" s="1">
        <v>1162.8800000000001</v>
      </c>
      <c r="J125" s="1">
        <v>40</v>
      </c>
      <c r="K125" s="1" t="s">
        <v>18</v>
      </c>
      <c r="L125" s="1" t="s">
        <v>26</v>
      </c>
      <c r="M125" s="1" t="s">
        <v>20</v>
      </c>
      <c r="N125" s="1" t="s">
        <v>21</v>
      </c>
    </row>
    <row r="126" spans="1:14">
      <c r="A126" s="2">
        <v>45389</v>
      </c>
      <c r="B126" s="1" t="s">
        <v>56</v>
      </c>
      <c r="C126" s="1" t="s">
        <v>52</v>
      </c>
      <c r="D126" s="1" t="s">
        <v>49</v>
      </c>
      <c r="E126" s="1" t="s">
        <v>24</v>
      </c>
      <c r="F126" s="1">
        <v>1</v>
      </c>
      <c r="G126" s="1">
        <v>55.02</v>
      </c>
      <c r="H126" s="1">
        <v>55.02</v>
      </c>
      <c r="I126" s="1">
        <v>-4.9799999999999969</v>
      </c>
      <c r="J126" s="1">
        <v>60</v>
      </c>
      <c r="K126" s="1" t="s">
        <v>25</v>
      </c>
      <c r="L126" s="1" t="s">
        <v>19</v>
      </c>
      <c r="M126" s="1" t="s">
        <v>27</v>
      </c>
      <c r="N126" s="1" t="s">
        <v>28</v>
      </c>
    </row>
    <row r="127" spans="1:14">
      <c r="A127" s="2">
        <v>45595</v>
      </c>
      <c r="B127" s="1" t="s">
        <v>53</v>
      </c>
      <c r="C127" s="1" t="s">
        <v>40</v>
      </c>
      <c r="D127" s="1" t="s">
        <v>16</v>
      </c>
      <c r="E127" s="1" t="s">
        <v>31</v>
      </c>
      <c r="F127" s="1">
        <v>5</v>
      </c>
      <c r="G127" s="1">
        <v>187.23</v>
      </c>
      <c r="H127" s="1">
        <v>936.15</v>
      </c>
      <c r="I127" s="1">
        <v>870.65</v>
      </c>
      <c r="J127" s="1">
        <v>65.5</v>
      </c>
      <c r="K127" s="1" t="s">
        <v>32</v>
      </c>
      <c r="L127" s="1" t="s">
        <v>19</v>
      </c>
      <c r="M127" s="1" t="s">
        <v>34</v>
      </c>
      <c r="N127" s="1" t="s">
        <v>35</v>
      </c>
    </row>
    <row r="128" spans="1:14">
      <c r="A128" s="2">
        <v>45346</v>
      </c>
      <c r="B128" s="1" t="s">
        <v>54</v>
      </c>
      <c r="C128" s="1" t="s">
        <v>40</v>
      </c>
      <c r="D128" s="1" t="s">
        <v>48</v>
      </c>
      <c r="E128" s="1" t="s">
        <v>24</v>
      </c>
      <c r="F128" s="1">
        <v>9</v>
      </c>
      <c r="G128" s="1">
        <v>202.72</v>
      </c>
      <c r="H128" s="1">
        <v>1824.48</v>
      </c>
      <c r="I128" s="1">
        <v>1775.48</v>
      </c>
      <c r="J128" s="1">
        <v>49</v>
      </c>
      <c r="K128" s="1" t="s">
        <v>18</v>
      </c>
      <c r="L128" s="1" t="s">
        <v>26</v>
      </c>
      <c r="M128" s="1" t="s">
        <v>37</v>
      </c>
      <c r="N128" s="1" t="s">
        <v>21</v>
      </c>
    </row>
    <row r="129" spans="1:14">
      <c r="A129" s="2">
        <v>45600</v>
      </c>
      <c r="B129" s="1" t="s">
        <v>54</v>
      </c>
      <c r="C129" s="1" t="s">
        <v>40</v>
      </c>
      <c r="D129" s="1" t="s">
        <v>16</v>
      </c>
      <c r="E129" s="1" t="s">
        <v>31</v>
      </c>
      <c r="F129" s="1">
        <v>3</v>
      </c>
      <c r="G129" s="1">
        <v>276.01</v>
      </c>
      <c r="H129" s="1">
        <v>828.03</v>
      </c>
      <c r="I129" s="1">
        <v>788.03</v>
      </c>
      <c r="J129" s="1">
        <v>40</v>
      </c>
      <c r="K129" s="1" t="s">
        <v>25</v>
      </c>
      <c r="L129" s="1" t="s">
        <v>33</v>
      </c>
      <c r="M129" s="1" t="s">
        <v>20</v>
      </c>
      <c r="N129" s="1" t="s">
        <v>28</v>
      </c>
    </row>
    <row r="130" spans="1:14">
      <c r="A130" s="2">
        <v>45305</v>
      </c>
      <c r="B130" s="1" t="s">
        <v>45</v>
      </c>
      <c r="C130" s="1" t="s">
        <v>44</v>
      </c>
      <c r="D130" s="1" t="s">
        <v>49</v>
      </c>
      <c r="E130" s="1" t="s">
        <v>24</v>
      </c>
      <c r="F130" s="1">
        <v>10</v>
      </c>
      <c r="G130" s="1">
        <v>281.43</v>
      </c>
      <c r="H130" s="1">
        <v>2814.3</v>
      </c>
      <c r="I130" s="1">
        <v>2754.3</v>
      </c>
      <c r="J130" s="1">
        <v>60</v>
      </c>
      <c r="K130" s="1" t="s">
        <v>32</v>
      </c>
      <c r="L130" s="1" t="s">
        <v>19</v>
      </c>
      <c r="M130" s="1" t="s">
        <v>27</v>
      </c>
      <c r="N130" s="1" t="s">
        <v>35</v>
      </c>
    </row>
    <row r="131" spans="1:14">
      <c r="A131" s="2">
        <v>45514</v>
      </c>
      <c r="B131" s="1" t="s">
        <v>56</v>
      </c>
      <c r="C131" s="1" t="s">
        <v>52</v>
      </c>
      <c r="D131" s="1" t="s">
        <v>48</v>
      </c>
      <c r="E131" s="1" t="s">
        <v>31</v>
      </c>
      <c r="F131" s="1">
        <v>7</v>
      </c>
      <c r="G131" s="1">
        <v>483.02</v>
      </c>
      <c r="H131" s="1">
        <v>3381.14</v>
      </c>
      <c r="I131" s="1">
        <v>3315.64</v>
      </c>
      <c r="J131" s="1">
        <v>65.5</v>
      </c>
      <c r="K131" s="1" t="s">
        <v>18</v>
      </c>
      <c r="L131" s="1" t="s">
        <v>26</v>
      </c>
      <c r="M131" s="1" t="s">
        <v>34</v>
      </c>
      <c r="N131" s="1" t="s">
        <v>21</v>
      </c>
    </row>
    <row r="132" spans="1:14">
      <c r="A132" s="2">
        <v>45367</v>
      </c>
      <c r="B132" s="1" t="s">
        <v>55</v>
      </c>
      <c r="C132" s="1" t="s">
        <v>44</v>
      </c>
      <c r="D132" s="1" t="s">
        <v>48</v>
      </c>
      <c r="E132" s="1" t="s">
        <v>17</v>
      </c>
      <c r="F132" s="1">
        <v>10</v>
      </c>
      <c r="G132" s="1">
        <v>84.68</v>
      </c>
      <c r="H132" s="1">
        <v>846.8</v>
      </c>
      <c r="I132" s="1">
        <v>797.8</v>
      </c>
      <c r="J132" s="1">
        <v>49</v>
      </c>
      <c r="K132" s="1" t="s">
        <v>25</v>
      </c>
      <c r="L132" s="1" t="s">
        <v>19</v>
      </c>
      <c r="M132" s="1" t="s">
        <v>37</v>
      </c>
      <c r="N132" s="1" t="s">
        <v>28</v>
      </c>
    </row>
    <row r="133" spans="1:14">
      <c r="A133" s="2">
        <v>45462</v>
      </c>
      <c r="B133" s="1" t="s">
        <v>39</v>
      </c>
      <c r="C133" s="1" t="s">
        <v>40</v>
      </c>
      <c r="D133" s="1" t="s">
        <v>16</v>
      </c>
      <c r="E133" s="1" t="s">
        <v>46</v>
      </c>
      <c r="F133" s="1">
        <v>3</v>
      </c>
      <c r="G133" s="1">
        <v>306.7</v>
      </c>
      <c r="H133" s="1">
        <v>920.1</v>
      </c>
      <c r="I133" s="1">
        <v>880.1</v>
      </c>
      <c r="J133" s="1">
        <v>40</v>
      </c>
      <c r="K133" s="1" t="s">
        <v>32</v>
      </c>
      <c r="L133" s="1" t="s">
        <v>19</v>
      </c>
      <c r="M133" s="1" t="s">
        <v>20</v>
      </c>
      <c r="N133" s="1" t="s">
        <v>35</v>
      </c>
    </row>
    <row r="134" spans="1:14">
      <c r="A134" s="2">
        <v>45452</v>
      </c>
      <c r="B134" s="1" t="s">
        <v>39</v>
      </c>
      <c r="C134" s="1" t="s">
        <v>40</v>
      </c>
      <c r="D134" s="1" t="s">
        <v>48</v>
      </c>
      <c r="E134" s="1" t="s">
        <v>31</v>
      </c>
      <c r="F134" s="1">
        <v>2</v>
      </c>
      <c r="G134" s="1">
        <v>68.94</v>
      </c>
      <c r="H134" s="1">
        <v>137.88</v>
      </c>
      <c r="I134" s="1">
        <v>77.88</v>
      </c>
      <c r="J134" s="1">
        <v>60</v>
      </c>
      <c r="K134" s="1" t="s">
        <v>18</v>
      </c>
      <c r="L134" s="1" t="s">
        <v>33</v>
      </c>
      <c r="M134" s="1" t="s">
        <v>27</v>
      </c>
      <c r="N134" s="1" t="s">
        <v>21</v>
      </c>
    </row>
    <row r="135" spans="1:14">
      <c r="A135" s="2">
        <v>45431</v>
      </c>
      <c r="B135" s="1" t="s">
        <v>50</v>
      </c>
      <c r="C135" s="1" t="s">
        <v>40</v>
      </c>
      <c r="D135" s="1" t="s">
        <v>16</v>
      </c>
      <c r="E135" s="1" t="s">
        <v>46</v>
      </c>
      <c r="F135" s="1">
        <v>7</v>
      </c>
      <c r="G135" s="1">
        <v>483.1</v>
      </c>
      <c r="H135" s="1">
        <v>3381.7</v>
      </c>
      <c r="I135" s="1">
        <v>3316.2</v>
      </c>
      <c r="J135" s="1">
        <v>65.5</v>
      </c>
      <c r="K135" s="1" t="s">
        <v>25</v>
      </c>
      <c r="L135" s="1" t="s">
        <v>19</v>
      </c>
      <c r="M135" s="1" t="s">
        <v>34</v>
      </c>
      <c r="N135" s="1" t="s">
        <v>28</v>
      </c>
    </row>
    <row r="136" spans="1:14">
      <c r="A136" s="2">
        <v>45412</v>
      </c>
      <c r="B136" s="1" t="s">
        <v>56</v>
      </c>
      <c r="C136" s="1" t="s">
        <v>52</v>
      </c>
      <c r="D136" s="1" t="s">
        <v>48</v>
      </c>
      <c r="E136" s="1" t="s">
        <v>24</v>
      </c>
      <c r="F136" s="1">
        <v>2</v>
      </c>
      <c r="G136" s="1">
        <v>439.62</v>
      </c>
      <c r="H136" s="1">
        <v>879.24</v>
      </c>
      <c r="I136" s="1">
        <v>830.24</v>
      </c>
      <c r="J136" s="1">
        <v>49</v>
      </c>
      <c r="K136" s="1" t="s">
        <v>32</v>
      </c>
      <c r="L136" s="1" t="s">
        <v>26</v>
      </c>
      <c r="M136" s="1" t="s">
        <v>37</v>
      </c>
      <c r="N136" s="1" t="s">
        <v>35</v>
      </c>
    </row>
    <row r="137" spans="1:14">
      <c r="A137" s="2">
        <v>45399</v>
      </c>
      <c r="B137" s="1" t="s">
        <v>55</v>
      </c>
      <c r="C137" s="1" t="s">
        <v>44</v>
      </c>
      <c r="D137" s="1" t="s">
        <v>49</v>
      </c>
      <c r="E137" s="1" t="s">
        <v>46</v>
      </c>
      <c r="F137" s="1">
        <v>9</v>
      </c>
      <c r="G137" s="1">
        <v>153.18</v>
      </c>
      <c r="H137" s="1">
        <v>1378.62</v>
      </c>
      <c r="I137" s="1">
        <v>1338.62</v>
      </c>
      <c r="J137" s="1">
        <v>40</v>
      </c>
      <c r="K137" s="1" t="s">
        <v>18</v>
      </c>
      <c r="L137" s="1" t="s">
        <v>19</v>
      </c>
      <c r="M137" s="1" t="s">
        <v>20</v>
      </c>
      <c r="N137" s="1" t="s">
        <v>21</v>
      </c>
    </row>
    <row r="138" spans="1:14">
      <c r="A138" s="2">
        <v>45462</v>
      </c>
      <c r="B138" s="1" t="s">
        <v>45</v>
      </c>
      <c r="C138" s="1" t="s">
        <v>44</v>
      </c>
      <c r="D138" s="1" t="s">
        <v>48</v>
      </c>
      <c r="E138" s="1" t="s">
        <v>17</v>
      </c>
      <c r="F138" s="1">
        <v>5</v>
      </c>
      <c r="G138" s="1">
        <v>51.53</v>
      </c>
      <c r="H138" s="1">
        <v>257.64999999999998</v>
      </c>
      <c r="I138" s="1">
        <v>197.64999999999998</v>
      </c>
      <c r="J138" s="1">
        <v>60</v>
      </c>
      <c r="K138" s="1" t="s">
        <v>25</v>
      </c>
      <c r="L138" s="1" t="s">
        <v>19</v>
      </c>
      <c r="M138" s="1" t="s">
        <v>27</v>
      </c>
      <c r="N138" s="1" t="s">
        <v>28</v>
      </c>
    </row>
    <row r="139" spans="1:14">
      <c r="A139" s="2">
        <v>45483</v>
      </c>
      <c r="B139" s="1" t="s">
        <v>41</v>
      </c>
      <c r="C139" s="1" t="s">
        <v>30</v>
      </c>
      <c r="D139" s="1" t="s">
        <v>42</v>
      </c>
      <c r="E139" s="1" t="s">
        <v>46</v>
      </c>
      <c r="F139" s="1">
        <v>4</v>
      </c>
      <c r="G139" s="1">
        <v>231.62</v>
      </c>
      <c r="H139" s="1">
        <v>926.48</v>
      </c>
      <c r="I139" s="1">
        <v>860.98</v>
      </c>
      <c r="J139" s="1">
        <v>65.5</v>
      </c>
      <c r="K139" s="1" t="s">
        <v>32</v>
      </c>
      <c r="L139" s="1" t="s">
        <v>26</v>
      </c>
      <c r="M139" s="1" t="s">
        <v>34</v>
      </c>
      <c r="N139" s="1" t="s">
        <v>35</v>
      </c>
    </row>
    <row r="140" spans="1:14">
      <c r="A140" s="2">
        <v>45395</v>
      </c>
      <c r="B140" s="1" t="s">
        <v>47</v>
      </c>
      <c r="C140" s="1" t="s">
        <v>44</v>
      </c>
      <c r="D140" s="1" t="s">
        <v>48</v>
      </c>
      <c r="E140" s="1" t="s">
        <v>31</v>
      </c>
      <c r="F140" s="1">
        <v>5</v>
      </c>
      <c r="G140" s="1">
        <v>303.83999999999997</v>
      </c>
      <c r="H140" s="1">
        <v>1519.2</v>
      </c>
      <c r="I140" s="1">
        <v>1470.2</v>
      </c>
      <c r="J140" s="1">
        <v>49</v>
      </c>
      <c r="K140" s="1" t="s">
        <v>18</v>
      </c>
      <c r="L140" s="1" t="s">
        <v>33</v>
      </c>
      <c r="M140" s="1" t="s">
        <v>37</v>
      </c>
      <c r="N140" s="1" t="s">
        <v>21</v>
      </c>
    </row>
    <row r="141" spans="1:14">
      <c r="A141" s="2">
        <v>45313</v>
      </c>
      <c r="B141" s="1" t="s">
        <v>47</v>
      </c>
      <c r="C141" s="1" t="s">
        <v>44</v>
      </c>
      <c r="D141" s="1" t="s">
        <v>49</v>
      </c>
      <c r="E141" s="1" t="s">
        <v>46</v>
      </c>
      <c r="F141" s="1">
        <v>9</v>
      </c>
      <c r="G141" s="1">
        <v>374.31</v>
      </c>
      <c r="H141" s="1">
        <v>3368.79</v>
      </c>
      <c r="I141" s="1">
        <v>3328.79</v>
      </c>
      <c r="J141" s="1">
        <v>40</v>
      </c>
      <c r="K141" s="1" t="s">
        <v>25</v>
      </c>
      <c r="L141" s="1" t="s">
        <v>19</v>
      </c>
      <c r="M141" s="1" t="s">
        <v>20</v>
      </c>
      <c r="N141" s="1" t="s">
        <v>28</v>
      </c>
    </row>
    <row r="142" spans="1:14">
      <c r="A142" s="2">
        <v>45579</v>
      </c>
      <c r="B142" s="1" t="s">
        <v>39</v>
      </c>
      <c r="C142" s="1" t="s">
        <v>40</v>
      </c>
      <c r="D142" s="1" t="s">
        <v>49</v>
      </c>
      <c r="E142" s="1" t="s">
        <v>24</v>
      </c>
      <c r="F142" s="1">
        <v>5</v>
      </c>
      <c r="G142" s="1">
        <v>158.87</v>
      </c>
      <c r="H142" s="1">
        <v>794.35</v>
      </c>
      <c r="I142" s="1">
        <v>734.35</v>
      </c>
      <c r="J142" s="1">
        <v>60</v>
      </c>
      <c r="K142" s="1" t="s">
        <v>32</v>
      </c>
      <c r="L142" s="1" t="s">
        <v>19</v>
      </c>
      <c r="M142" s="1" t="s">
        <v>27</v>
      </c>
      <c r="N142" s="1" t="s">
        <v>35</v>
      </c>
    </row>
    <row r="143" spans="1:14">
      <c r="A143" s="2">
        <v>45544</v>
      </c>
      <c r="B143" s="1" t="s">
        <v>59</v>
      </c>
      <c r="C143" s="1" t="s">
        <v>30</v>
      </c>
      <c r="D143" s="1" t="s">
        <v>49</v>
      </c>
      <c r="E143" s="1" t="s">
        <v>46</v>
      </c>
      <c r="F143" s="1">
        <v>3</v>
      </c>
      <c r="G143" s="1">
        <v>174.34</v>
      </c>
      <c r="H143" s="1">
        <v>523.02</v>
      </c>
      <c r="I143" s="1">
        <v>457.52</v>
      </c>
      <c r="J143" s="1">
        <v>65.5</v>
      </c>
      <c r="K143" s="1" t="s">
        <v>18</v>
      </c>
      <c r="L143" s="1" t="s">
        <v>19</v>
      </c>
      <c r="M143" s="1" t="s">
        <v>34</v>
      </c>
      <c r="N143" s="1" t="s">
        <v>21</v>
      </c>
    </row>
    <row r="144" spans="1:14">
      <c r="A144" s="2">
        <v>45438</v>
      </c>
      <c r="B144" s="1" t="s">
        <v>57</v>
      </c>
      <c r="C144" s="1" t="s">
        <v>30</v>
      </c>
      <c r="D144" s="1" t="s">
        <v>23</v>
      </c>
      <c r="E144" s="1" t="s">
        <v>46</v>
      </c>
      <c r="F144" s="1">
        <v>6</v>
      </c>
      <c r="G144" s="1">
        <v>237.96</v>
      </c>
      <c r="H144" s="1">
        <v>1427.76</v>
      </c>
      <c r="I144" s="1">
        <v>1378.76</v>
      </c>
      <c r="J144" s="1">
        <v>49</v>
      </c>
      <c r="K144" s="1" t="s">
        <v>25</v>
      </c>
      <c r="L144" s="1" t="s">
        <v>26</v>
      </c>
      <c r="M144" s="1" t="s">
        <v>37</v>
      </c>
      <c r="N144" s="1" t="s">
        <v>28</v>
      </c>
    </row>
    <row r="145" spans="1:14">
      <c r="A145" s="2">
        <v>45578</v>
      </c>
      <c r="B145" s="1" t="s">
        <v>41</v>
      </c>
      <c r="C145" s="1" t="s">
        <v>30</v>
      </c>
      <c r="D145" s="1" t="s">
        <v>16</v>
      </c>
      <c r="E145" s="1" t="s">
        <v>17</v>
      </c>
      <c r="F145" s="1">
        <v>1</v>
      </c>
      <c r="G145" s="1">
        <v>347.92</v>
      </c>
      <c r="H145" s="1">
        <v>347.92</v>
      </c>
      <c r="I145" s="1">
        <v>307.92</v>
      </c>
      <c r="J145" s="1">
        <v>40</v>
      </c>
      <c r="K145" s="1" t="s">
        <v>32</v>
      </c>
      <c r="L145" s="1" t="s">
        <v>33</v>
      </c>
      <c r="M145" s="1" t="s">
        <v>20</v>
      </c>
      <c r="N145" s="1" t="s">
        <v>35</v>
      </c>
    </row>
    <row r="146" spans="1:14">
      <c r="A146" s="2">
        <v>45497</v>
      </c>
      <c r="B146" s="1" t="s">
        <v>53</v>
      </c>
      <c r="C146" s="1" t="s">
        <v>40</v>
      </c>
      <c r="D146" s="1" t="s">
        <v>16</v>
      </c>
      <c r="E146" s="1" t="s">
        <v>46</v>
      </c>
      <c r="F146" s="1">
        <v>9</v>
      </c>
      <c r="G146" s="1">
        <v>227.15</v>
      </c>
      <c r="H146" s="1">
        <v>2044.35</v>
      </c>
      <c r="I146" s="1">
        <v>1984.35</v>
      </c>
      <c r="J146" s="1">
        <v>60</v>
      </c>
      <c r="K146" s="1" t="s">
        <v>18</v>
      </c>
      <c r="L146" s="1" t="s">
        <v>19</v>
      </c>
      <c r="M146" s="1" t="s">
        <v>27</v>
      </c>
      <c r="N146" s="1" t="s">
        <v>21</v>
      </c>
    </row>
    <row r="147" spans="1:14">
      <c r="A147" s="2">
        <v>45561</v>
      </c>
      <c r="B147" s="1" t="s">
        <v>55</v>
      </c>
      <c r="C147" s="1" t="s">
        <v>44</v>
      </c>
      <c r="D147" s="1" t="s">
        <v>23</v>
      </c>
      <c r="E147" s="1" t="s">
        <v>31</v>
      </c>
      <c r="F147" s="1">
        <v>7</v>
      </c>
      <c r="G147" s="1">
        <v>459.54</v>
      </c>
      <c r="H147" s="1">
        <v>3216.78</v>
      </c>
      <c r="I147" s="1">
        <v>3151.28</v>
      </c>
      <c r="J147" s="1">
        <v>65.5</v>
      </c>
      <c r="K147" s="1" t="s">
        <v>25</v>
      </c>
      <c r="L147" s="1" t="s">
        <v>19</v>
      </c>
      <c r="M147" s="1" t="s">
        <v>34</v>
      </c>
      <c r="N147" s="1" t="s">
        <v>28</v>
      </c>
    </row>
    <row r="148" spans="1:14">
      <c r="A148" s="2">
        <v>45617</v>
      </c>
      <c r="B148" s="1" t="s">
        <v>56</v>
      </c>
      <c r="C148" s="1" t="s">
        <v>52</v>
      </c>
      <c r="D148" s="1" t="s">
        <v>42</v>
      </c>
      <c r="E148" s="1" t="s">
        <v>24</v>
      </c>
      <c r="F148" s="1">
        <v>8</v>
      </c>
      <c r="G148" s="1">
        <v>103.76</v>
      </c>
      <c r="H148" s="1">
        <v>830.08</v>
      </c>
      <c r="I148" s="1">
        <v>781.08</v>
      </c>
      <c r="J148" s="1">
        <v>49</v>
      </c>
      <c r="K148" s="1" t="s">
        <v>32</v>
      </c>
      <c r="L148" s="1" t="s">
        <v>26</v>
      </c>
      <c r="M148" s="1" t="s">
        <v>37</v>
      </c>
      <c r="N148" s="1" t="s">
        <v>35</v>
      </c>
    </row>
    <row r="149" spans="1:14">
      <c r="A149" s="2">
        <v>45529</v>
      </c>
      <c r="B149" s="1" t="s">
        <v>38</v>
      </c>
      <c r="C149" s="1" t="s">
        <v>15</v>
      </c>
      <c r="D149" s="1" t="s">
        <v>23</v>
      </c>
      <c r="E149" s="1" t="s">
        <v>31</v>
      </c>
      <c r="F149" s="1">
        <v>4</v>
      </c>
      <c r="G149" s="1">
        <v>162.47999999999999</v>
      </c>
      <c r="H149" s="1">
        <v>649.91999999999996</v>
      </c>
      <c r="I149" s="1">
        <v>609.91999999999996</v>
      </c>
      <c r="J149" s="1">
        <v>40</v>
      </c>
      <c r="K149" s="1" t="s">
        <v>18</v>
      </c>
      <c r="L149" s="1" t="s">
        <v>19</v>
      </c>
      <c r="M149" s="1" t="s">
        <v>20</v>
      </c>
      <c r="N149" s="1" t="s">
        <v>21</v>
      </c>
    </row>
    <row r="150" spans="1:14">
      <c r="A150" s="2">
        <v>45334</v>
      </c>
      <c r="B150" s="1" t="s">
        <v>47</v>
      </c>
      <c r="C150" s="1" t="s">
        <v>44</v>
      </c>
      <c r="D150" s="1" t="s">
        <v>16</v>
      </c>
      <c r="E150" s="1" t="s">
        <v>24</v>
      </c>
      <c r="F150" s="1">
        <v>10</v>
      </c>
      <c r="G150" s="1">
        <v>276.17</v>
      </c>
      <c r="H150" s="1">
        <v>2761.7</v>
      </c>
      <c r="I150" s="1">
        <v>2701.7</v>
      </c>
      <c r="J150" s="1">
        <v>60</v>
      </c>
      <c r="K150" s="1" t="s">
        <v>25</v>
      </c>
      <c r="L150" s="1" t="s">
        <v>33</v>
      </c>
      <c r="M150" s="1" t="s">
        <v>27</v>
      </c>
      <c r="N150" s="1" t="s">
        <v>28</v>
      </c>
    </row>
    <row r="151" spans="1:14">
      <c r="A151" s="2">
        <v>45356</v>
      </c>
      <c r="B151" s="1" t="s">
        <v>60</v>
      </c>
      <c r="C151" s="1" t="s">
        <v>52</v>
      </c>
      <c r="D151" s="1" t="s">
        <v>23</v>
      </c>
      <c r="E151" s="1" t="s">
        <v>17</v>
      </c>
      <c r="F151" s="1">
        <v>1</v>
      </c>
      <c r="G151" s="1">
        <v>154.79</v>
      </c>
      <c r="H151" s="1">
        <v>154.79</v>
      </c>
      <c r="I151" s="1">
        <v>89.289999999999992</v>
      </c>
      <c r="J151" s="1">
        <v>65.5</v>
      </c>
      <c r="K151" s="1" t="s">
        <v>32</v>
      </c>
      <c r="L151" s="1" t="s">
        <v>19</v>
      </c>
      <c r="M151" s="1" t="s">
        <v>34</v>
      </c>
      <c r="N151" s="1" t="s">
        <v>35</v>
      </c>
    </row>
    <row r="152" spans="1:14">
      <c r="A152" s="2">
        <v>45555</v>
      </c>
      <c r="B152" s="1" t="s">
        <v>14</v>
      </c>
      <c r="C152" s="1" t="s">
        <v>15</v>
      </c>
      <c r="D152" s="1" t="s">
        <v>16</v>
      </c>
      <c r="E152" s="1" t="s">
        <v>46</v>
      </c>
      <c r="F152" s="1">
        <v>6</v>
      </c>
      <c r="G152" s="1">
        <v>482.61</v>
      </c>
      <c r="H152" s="1">
        <v>2895.66</v>
      </c>
      <c r="I152" s="1">
        <v>2846.66</v>
      </c>
      <c r="J152" s="1">
        <v>49</v>
      </c>
      <c r="K152" s="1" t="s">
        <v>18</v>
      </c>
      <c r="L152" s="1" t="s">
        <v>26</v>
      </c>
      <c r="M152" s="1" t="s">
        <v>37</v>
      </c>
      <c r="N152" s="1" t="s">
        <v>21</v>
      </c>
    </row>
    <row r="153" spans="1:14">
      <c r="A153" s="2">
        <v>45610</v>
      </c>
      <c r="B153" s="1" t="s">
        <v>59</v>
      </c>
      <c r="C153" s="1" t="s">
        <v>30</v>
      </c>
      <c r="D153" s="1" t="s">
        <v>42</v>
      </c>
      <c r="E153" s="1" t="s">
        <v>46</v>
      </c>
      <c r="F153" s="1">
        <v>1</v>
      </c>
      <c r="G153" s="1">
        <v>96.33</v>
      </c>
      <c r="H153" s="1">
        <v>96.33</v>
      </c>
      <c r="I153" s="1">
        <v>56.33</v>
      </c>
      <c r="J153" s="1">
        <v>40</v>
      </c>
      <c r="K153" s="1" t="s">
        <v>25</v>
      </c>
      <c r="L153" s="1" t="s">
        <v>33</v>
      </c>
      <c r="M153" s="1" t="s">
        <v>20</v>
      </c>
      <c r="N153" s="1" t="s">
        <v>28</v>
      </c>
    </row>
    <row r="154" spans="1:14">
      <c r="A154" s="2">
        <v>45604</v>
      </c>
      <c r="B154" s="1" t="s">
        <v>60</v>
      </c>
      <c r="C154" s="1" t="s">
        <v>52</v>
      </c>
      <c r="D154" s="1" t="s">
        <v>23</v>
      </c>
      <c r="E154" s="1" t="s">
        <v>46</v>
      </c>
      <c r="F154" s="1">
        <v>6</v>
      </c>
      <c r="G154" s="1">
        <v>465.34</v>
      </c>
      <c r="H154" s="1">
        <v>2792.04</v>
      </c>
      <c r="I154" s="1">
        <v>2732.04</v>
      </c>
      <c r="J154" s="1">
        <v>60</v>
      </c>
      <c r="K154" s="1" t="s">
        <v>32</v>
      </c>
      <c r="L154" s="1" t="s">
        <v>19</v>
      </c>
      <c r="M154" s="1" t="s">
        <v>27</v>
      </c>
      <c r="N154" s="1" t="s">
        <v>35</v>
      </c>
    </row>
  </sheetData>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02B31-7AB9-4F15-AE51-33948F90C5EE}">
  <dimension ref="A1:U33"/>
  <sheetViews>
    <sheetView topLeftCell="H1" zoomScale="82" zoomScaleNormal="82" workbookViewId="0">
      <selection activeCell="Q4" sqref="Q4"/>
    </sheetView>
  </sheetViews>
  <sheetFormatPr defaultRowHeight="14.25"/>
  <cols>
    <col min="1" max="1" width="13.125" bestFit="1" customWidth="1"/>
    <col min="2" max="2" width="16.5" bestFit="1" customWidth="1"/>
    <col min="3" max="3" width="24.875" bestFit="1" customWidth="1"/>
    <col min="5" max="5" width="13.125" bestFit="1" customWidth="1"/>
    <col min="6" max="6" width="16.5" bestFit="1" customWidth="1"/>
    <col min="8" max="8" width="13.25" bestFit="1" customWidth="1"/>
    <col min="9" max="9" width="16.5" bestFit="1" customWidth="1"/>
    <col min="12" max="12" width="13.125" bestFit="1" customWidth="1"/>
    <col min="13" max="13" width="16.5" bestFit="1" customWidth="1"/>
    <col min="15" max="15" width="13.125" bestFit="1" customWidth="1"/>
    <col min="16" max="16" width="16.5" bestFit="1" customWidth="1"/>
    <col min="17" max="17" width="16.375" bestFit="1" customWidth="1"/>
    <col min="18" max="18" width="13.125" bestFit="1" customWidth="1"/>
    <col min="19" max="19" width="21.875" bestFit="1" customWidth="1"/>
    <col min="20" max="20" width="19.625" bestFit="1" customWidth="1"/>
  </cols>
  <sheetData>
    <row r="1" spans="1:21">
      <c r="A1" s="30" t="s">
        <v>64</v>
      </c>
      <c r="B1" s="30"/>
      <c r="C1" s="9">
        <f ca="1">NOW()</f>
        <v>46035.898480555552</v>
      </c>
      <c r="E1" s="30" t="s">
        <v>66</v>
      </c>
      <c r="F1" s="30"/>
      <c r="H1" s="30" t="s">
        <v>67</v>
      </c>
      <c r="I1" s="30"/>
      <c r="L1" s="30" t="s">
        <v>83</v>
      </c>
      <c r="M1" s="30"/>
      <c r="O1" s="30" t="s">
        <v>84</v>
      </c>
      <c r="P1" s="30"/>
      <c r="R1" s="30" t="s">
        <v>11</v>
      </c>
      <c r="S1" s="30"/>
      <c r="T1" s="30"/>
    </row>
    <row r="2" spans="1:21">
      <c r="A2" s="10" t="s">
        <v>61</v>
      </c>
      <c r="B2" s="5" t="s">
        <v>63</v>
      </c>
      <c r="E2" s="4" t="s">
        <v>61</v>
      </c>
      <c r="F2" s="5" t="s">
        <v>65</v>
      </c>
      <c r="H2" s="4" t="s">
        <v>61</v>
      </c>
      <c r="I2" s="5" t="s">
        <v>65</v>
      </c>
      <c r="L2" s="4" t="s">
        <v>61</v>
      </c>
      <c r="M2" s="5" t="s">
        <v>65</v>
      </c>
      <c r="O2" s="4" t="s">
        <v>61</v>
      </c>
      <c r="P2" s="5" t="s">
        <v>65</v>
      </c>
      <c r="R2" s="4" t="s">
        <v>61</v>
      </c>
      <c r="S2" s="5" t="s">
        <v>80</v>
      </c>
      <c r="T2" s="5" t="s">
        <v>81</v>
      </c>
    </row>
    <row r="3" spans="1:21">
      <c r="A3" s="10" t="s">
        <v>24</v>
      </c>
      <c r="B3" s="11">
        <v>2101</v>
      </c>
      <c r="E3" s="6" t="s">
        <v>24</v>
      </c>
      <c r="F3" s="11">
        <v>60100.99</v>
      </c>
      <c r="H3" s="6" t="s">
        <v>20</v>
      </c>
      <c r="I3" s="11">
        <v>48098.53</v>
      </c>
      <c r="L3" s="6" t="s">
        <v>68</v>
      </c>
      <c r="M3" s="11">
        <v>24528.94</v>
      </c>
      <c r="O3" s="6" t="s">
        <v>42</v>
      </c>
      <c r="P3" s="11">
        <v>45222.76</v>
      </c>
      <c r="R3" s="6" t="s">
        <v>33</v>
      </c>
      <c r="S3" s="15">
        <v>37</v>
      </c>
      <c r="T3" s="15">
        <v>192</v>
      </c>
    </row>
    <row r="4" spans="1:21">
      <c r="A4" s="10" t="s">
        <v>46</v>
      </c>
      <c r="B4" s="11">
        <v>2145</v>
      </c>
      <c r="E4" s="6" t="s">
        <v>46</v>
      </c>
      <c r="F4" s="11">
        <v>50329.01</v>
      </c>
      <c r="H4" s="6" t="s">
        <v>34</v>
      </c>
      <c r="I4" s="11">
        <v>43679.88</v>
      </c>
      <c r="L4" s="6" t="s">
        <v>69</v>
      </c>
      <c r="M4" s="11">
        <v>15451.27</v>
      </c>
      <c r="O4" s="6" t="s">
        <v>23</v>
      </c>
      <c r="P4" s="11">
        <v>39607.440000000002</v>
      </c>
      <c r="R4" s="6" t="s">
        <v>19</v>
      </c>
      <c r="S4" s="15">
        <v>71</v>
      </c>
      <c r="T4" s="15">
        <v>373</v>
      </c>
    </row>
    <row r="5" spans="1:21">
      <c r="A5" s="10" t="s">
        <v>31</v>
      </c>
      <c r="B5" s="11">
        <v>2167</v>
      </c>
      <c r="E5" s="6" t="s">
        <v>31</v>
      </c>
      <c r="F5" s="11">
        <v>67158.789999999994</v>
      </c>
      <c r="H5" s="6" t="s">
        <v>37</v>
      </c>
      <c r="I5" s="11">
        <v>52442.06</v>
      </c>
      <c r="L5" s="6" t="s">
        <v>70</v>
      </c>
      <c r="M5" s="11">
        <v>17672.21</v>
      </c>
      <c r="O5" s="6" t="s">
        <v>16</v>
      </c>
      <c r="P5" s="11">
        <v>35076.949999999997</v>
      </c>
      <c r="R5" s="6" t="s">
        <v>26</v>
      </c>
      <c r="S5" s="15">
        <v>42</v>
      </c>
      <c r="T5" s="15">
        <v>235</v>
      </c>
    </row>
    <row r="6" spans="1:21">
      <c r="A6" s="10" t="s">
        <v>17</v>
      </c>
      <c r="B6" s="11">
        <v>1623.5</v>
      </c>
      <c r="E6" s="6" t="s">
        <v>17</v>
      </c>
      <c r="F6" s="11">
        <v>31182.52</v>
      </c>
      <c r="H6" s="6" t="s">
        <v>27</v>
      </c>
      <c r="I6" s="11">
        <v>64550.84</v>
      </c>
      <c r="L6" s="6" t="s">
        <v>71</v>
      </c>
      <c r="M6" s="11">
        <v>25578.95</v>
      </c>
      <c r="O6" s="6" t="s">
        <v>49</v>
      </c>
      <c r="P6" s="11">
        <v>33153.1</v>
      </c>
      <c r="R6" s="10" t="s">
        <v>62</v>
      </c>
      <c r="S6" s="15">
        <v>150</v>
      </c>
      <c r="T6" s="15">
        <v>800</v>
      </c>
    </row>
    <row r="7" spans="1:21">
      <c r="A7" s="10" t="s">
        <v>62</v>
      </c>
      <c r="B7" s="11">
        <v>8036.5</v>
      </c>
      <c r="E7" s="10" t="s">
        <v>62</v>
      </c>
      <c r="F7" s="11">
        <v>208771.31</v>
      </c>
      <c r="H7" s="10" t="s">
        <v>62</v>
      </c>
      <c r="I7" s="11">
        <v>208771.31</v>
      </c>
      <c r="L7" s="6" t="s">
        <v>72</v>
      </c>
      <c r="M7" s="11">
        <v>20630.37</v>
      </c>
      <c r="O7" s="6" t="s">
        <v>48</v>
      </c>
      <c r="P7" s="11">
        <v>55711.06</v>
      </c>
      <c r="S7" s="14"/>
    </row>
    <row r="8" spans="1:21">
      <c r="B8" s="8"/>
      <c r="L8" s="6" t="s">
        <v>73</v>
      </c>
      <c r="M8" s="11">
        <v>17614.05</v>
      </c>
      <c r="O8" s="10" t="s">
        <v>62</v>
      </c>
      <c r="P8" s="11">
        <v>208771.31</v>
      </c>
      <c r="R8" s="8" t="str">
        <f>IFERROR(VLOOKUP(R3,R3:T6,1,0),"")</f>
        <v>Cancelled</v>
      </c>
      <c r="S8" s="16">
        <f t="shared" ref="S8:T11" si="0">IFERROR(VLOOKUP(S3,S3:U6,1,0),"")</f>
        <v>37</v>
      </c>
      <c r="T8" s="16">
        <f>IFERROR(VLOOKUP(T3,T3:T6,1,0),"")</f>
        <v>192</v>
      </c>
    </row>
    <row r="9" spans="1:21">
      <c r="B9" s="8"/>
      <c r="F9" s="8"/>
      <c r="I9" s="8"/>
      <c r="L9" s="6" t="s">
        <v>74</v>
      </c>
      <c r="M9" s="11">
        <v>15549.45</v>
      </c>
      <c r="P9" s="8"/>
      <c r="R9" s="8" t="str">
        <f t="shared" ref="R9:R11" si="1">IFERROR(VLOOKUP(R4,R4:T7,1,0),"")</f>
        <v>Completed</v>
      </c>
      <c r="S9" s="16">
        <f t="shared" si="0"/>
        <v>71</v>
      </c>
      <c r="T9" s="16">
        <f t="shared" si="0"/>
        <v>373</v>
      </c>
    </row>
    <row r="10" spans="1:21">
      <c r="B10" s="7"/>
      <c r="F10" s="7"/>
      <c r="I10" s="7"/>
      <c r="L10" s="6" t="s">
        <v>75</v>
      </c>
      <c r="M10" s="11">
        <v>13249.36</v>
      </c>
      <c r="P10" s="7"/>
      <c r="R10" s="8" t="str">
        <f t="shared" si="1"/>
        <v>Pending</v>
      </c>
      <c r="S10" s="16">
        <f t="shared" si="0"/>
        <v>42</v>
      </c>
      <c r="T10" s="16">
        <f t="shared" si="0"/>
        <v>235</v>
      </c>
    </row>
    <row r="11" spans="1:21">
      <c r="A11" t="str">
        <f>A3</f>
        <v>East</v>
      </c>
      <c r="B11" s="8">
        <f>IFERROR(VLOOKUP(A11,$A$3:$B$7,2,0),"")</f>
        <v>2101</v>
      </c>
      <c r="E11" t="str">
        <f>E3</f>
        <v>East</v>
      </c>
      <c r="F11" s="8">
        <f>IFERROR(VLOOKUP(E11,$E$3:$F$7,2,0),"")</f>
        <v>60100.99</v>
      </c>
      <c r="H11" t="str">
        <f t="shared" ref="H11:H15" si="2">H3</f>
        <v>Lisa White</v>
      </c>
      <c r="I11" s="8">
        <f>IFERROR(VLOOKUP(H11,$H$3:$I$7,2,0),"")</f>
        <v>48098.53</v>
      </c>
      <c r="L11" s="6" t="s">
        <v>76</v>
      </c>
      <c r="M11" s="11">
        <v>33596.71</v>
      </c>
      <c r="O11" t="str">
        <f>O3</f>
        <v>Alice</v>
      </c>
      <c r="P11" s="8">
        <f t="shared" ref="P11" si="3">P3</f>
        <v>45222.76</v>
      </c>
      <c r="R11" s="8" t="str">
        <f t="shared" si="1"/>
        <v>Grand Total</v>
      </c>
      <c r="S11" s="16">
        <f t="shared" si="0"/>
        <v>150</v>
      </c>
      <c r="T11" s="16">
        <f t="shared" si="0"/>
        <v>800</v>
      </c>
    </row>
    <row r="12" spans="1:21">
      <c r="A12" t="str">
        <f>A4</f>
        <v>North</v>
      </c>
      <c r="B12" s="8">
        <f>IFERROR(VLOOKUP(A12,$A$3:$B$7,2,0),"")</f>
        <v>2145</v>
      </c>
      <c r="E12" t="str">
        <f>E4</f>
        <v>North</v>
      </c>
      <c r="F12" s="8">
        <f t="shared" ref="F12:F15" si="4">IFERROR(VLOOKUP(E12,$E$3:$F$7,2,0),"")</f>
        <v>50329.01</v>
      </c>
      <c r="H12" t="str">
        <f>H4</f>
        <v>Mark Davis</v>
      </c>
      <c r="I12" s="8">
        <f t="shared" ref="I12:I15" si="5">IFERROR(VLOOKUP(H12,$H$3:$I$7,2,0),"")</f>
        <v>43679.88</v>
      </c>
      <c r="L12" s="6" t="s">
        <v>77</v>
      </c>
      <c r="M12" s="11">
        <v>10508.74</v>
      </c>
      <c r="O12" t="str">
        <f>O4</f>
        <v>Bob</v>
      </c>
      <c r="P12" s="8">
        <f t="shared" ref="P12" si="6">P4</f>
        <v>39607.440000000002</v>
      </c>
    </row>
    <row r="13" spans="1:21">
      <c r="A13" t="str">
        <f>A5</f>
        <v>South</v>
      </c>
      <c r="B13" s="8">
        <f>IFERROR(VLOOKUP(A13,$A$3:$B$7,2,0),"")</f>
        <v>2167</v>
      </c>
      <c r="E13" t="str">
        <f t="shared" ref="E13:E15" si="7">E5</f>
        <v>South</v>
      </c>
      <c r="F13" s="8">
        <f t="shared" si="4"/>
        <v>67158.789999999994</v>
      </c>
      <c r="H13" t="str">
        <f t="shared" si="2"/>
        <v>Sarah Johnson</v>
      </c>
      <c r="I13" s="8">
        <f t="shared" si="5"/>
        <v>52442.06</v>
      </c>
      <c r="L13" s="6" t="s">
        <v>78</v>
      </c>
      <c r="M13" s="11">
        <v>9270.7800000000007</v>
      </c>
      <c r="O13" t="str">
        <f t="shared" ref="O13:P13" si="8">O5</f>
        <v>Charlie</v>
      </c>
      <c r="P13" s="8">
        <f t="shared" si="8"/>
        <v>35076.949999999997</v>
      </c>
      <c r="S13" s="16"/>
    </row>
    <row r="14" spans="1:21">
      <c r="A14" t="str">
        <f>A6</f>
        <v>West</v>
      </c>
      <c r="B14" s="8">
        <f>IFERROR(VLOOKUP(A14,$A$3:$B$7,2,0),"")</f>
        <v>1623.5</v>
      </c>
      <c r="E14" t="str">
        <f t="shared" si="7"/>
        <v>West</v>
      </c>
      <c r="F14" s="8">
        <f t="shared" si="4"/>
        <v>31182.52</v>
      </c>
      <c r="H14" t="str">
        <f t="shared" si="2"/>
        <v>Tom Brown</v>
      </c>
      <c r="I14" s="8">
        <f t="shared" si="5"/>
        <v>64550.84</v>
      </c>
      <c r="L14" s="6" t="s">
        <v>79</v>
      </c>
      <c r="M14" s="11">
        <v>5120.4799999999996</v>
      </c>
      <c r="O14" t="str">
        <f t="shared" ref="O14:P14" si="9">O6</f>
        <v>Diana</v>
      </c>
      <c r="P14" s="8">
        <f t="shared" si="9"/>
        <v>33153.1</v>
      </c>
      <c r="S14" s="16"/>
    </row>
    <row r="15" spans="1:21">
      <c r="A15" t="str">
        <f>A7</f>
        <v>Grand Total</v>
      </c>
      <c r="B15" s="8">
        <f>IFERROR(VLOOKUP(A15,$A$3:$B$7,2,0),"")</f>
        <v>8036.5</v>
      </c>
      <c r="E15" t="str">
        <f t="shared" si="7"/>
        <v>Grand Total</v>
      </c>
      <c r="F15" s="8">
        <f t="shared" si="4"/>
        <v>208771.31</v>
      </c>
      <c r="H15" t="str">
        <f t="shared" si="2"/>
        <v>Grand Total</v>
      </c>
      <c r="I15" s="8">
        <f t="shared" si="5"/>
        <v>208771.31</v>
      </c>
      <c r="L15" s="10" t="s">
        <v>62</v>
      </c>
      <c r="M15" s="11">
        <v>208771.31</v>
      </c>
      <c r="O15" t="str">
        <f t="shared" ref="O15:P15" si="10">O7</f>
        <v>Eve</v>
      </c>
      <c r="P15" s="8">
        <f t="shared" si="10"/>
        <v>55711.06</v>
      </c>
      <c r="S15" s="30" t="s">
        <v>82</v>
      </c>
      <c r="T15" s="30"/>
    </row>
    <row r="16" spans="1:21">
      <c r="F16" s="8"/>
      <c r="O16" t="str">
        <f t="shared" ref="O16:P16" si="11">O8</f>
        <v>Grand Total</v>
      </c>
      <c r="P16" s="8">
        <f t="shared" si="11"/>
        <v>208771.31</v>
      </c>
      <c r="S16" s="17"/>
      <c r="T16" s="18"/>
      <c r="U16" s="19"/>
    </row>
    <row r="17" spans="1:21">
      <c r="A17" s="30" t="s">
        <v>66</v>
      </c>
      <c r="B17" s="30"/>
      <c r="S17" s="20"/>
      <c r="T17" s="21"/>
      <c r="U17" s="22"/>
    </row>
    <row r="18" spans="1:21" ht="15">
      <c r="A18" s="4" t="s">
        <v>61</v>
      </c>
      <c r="B18" s="5" t="s">
        <v>65</v>
      </c>
      <c r="L18" s="13" t="str">
        <f>L3</f>
        <v>Jan</v>
      </c>
      <c r="M18" s="12">
        <f>M3</f>
        <v>24528.94</v>
      </c>
      <c r="S18" s="20"/>
      <c r="T18" s="21"/>
      <c r="U18" s="22"/>
    </row>
    <row r="19" spans="1:21" ht="15">
      <c r="A19" s="6" t="s">
        <v>52</v>
      </c>
      <c r="B19" s="11">
        <v>29182.06</v>
      </c>
      <c r="L19" s="13" t="str">
        <f t="shared" ref="L19" si="12">L4</f>
        <v>Feb</v>
      </c>
      <c r="M19" s="12">
        <f>M4</f>
        <v>15451.27</v>
      </c>
      <c r="S19" s="20"/>
      <c r="T19" s="21"/>
      <c r="U19" s="22"/>
    </row>
    <row r="20" spans="1:21" ht="15">
      <c r="A20" s="6" t="s">
        <v>30</v>
      </c>
      <c r="B20" s="11">
        <v>27014.35</v>
      </c>
      <c r="L20" s="13" t="str">
        <f t="shared" ref="L20:M20" si="13">L5</f>
        <v>Mar</v>
      </c>
      <c r="M20" s="12">
        <f t="shared" si="13"/>
        <v>17672.21</v>
      </c>
      <c r="S20" s="20"/>
      <c r="T20" s="21"/>
      <c r="U20" s="22"/>
    </row>
    <row r="21" spans="1:21" ht="15">
      <c r="A21" s="6" t="s">
        <v>40</v>
      </c>
      <c r="B21" s="11">
        <v>39309.78</v>
      </c>
      <c r="L21" s="13" t="str">
        <f t="shared" ref="L21:M21" si="14">L6</f>
        <v>Apr</v>
      </c>
      <c r="M21" s="12">
        <f t="shared" si="14"/>
        <v>25578.95</v>
      </c>
      <c r="S21" s="20"/>
      <c r="T21" s="21"/>
      <c r="U21" s="22"/>
    </row>
    <row r="22" spans="1:21" ht="15">
      <c r="A22" s="6" t="s">
        <v>15</v>
      </c>
      <c r="B22" s="11">
        <v>51359.74</v>
      </c>
      <c r="L22" s="13" t="str">
        <f t="shared" ref="L22:M22" si="15">L7</f>
        <v>May</v>
      </c>
      <c r="M22" s="12">
        <f t="shared" si="15"/>
        <v>20630.37</v>
      </c>
      <c r="S22" s="20"/>
      <c r="T22" s="21"/>
      <c r="U22" s="22"/>
    </row>
    <row r="23" spans="1:21" ht="15">
      <c r="A23" s="6" t="s">
        <v>44</v>
      </c>
      <c r="B23" s="11">
        <v>61905.38</v>
      </c>
      <c r="L23" s="13" t="str">
        <f t="shared" ref="L23:M23" si="16">L8</f>
        <v>Jun</v>
      </c>
      <c r="M23" s="12">
        <f t="shared" si="16"/>
        <v>17614.05</v>
      </c>
      <c r="S23" s="20"/>
      <c r="T23" s="21"/>
      <c r="U23" s="22"/>
    </row>
    <row r="24" spans="1:21" ht="15">
      <c r="A24" s="10" t="s">
        <v>62</v>
      </c>
      <c r="B24" s="11">
        <v>208771.31</v>
      </c>
      <c r="L24" s="13" t="str">
        <f t="shared" ref="L24:M24" si="17">L9</f>
        <v>Jul</v>
      </c>
      <c r="M24" s="12">
        <f t="shared" si="17"/>
        <v>15549.45</v>
      </c>
      <c r="S24" s="20"/>
      <c r="T24" s="21"/>
      <c r="U24" s="22"/>
    </row>
    <row r="25" spans="1:21" ht="15">
      <c r="B25" s="8"/>
      <c r="L25" s="13" t="str">
        <f t="shared" ref="L25:M25" si="18">L10</f>
        <v>Aug</v>
      </c>
      <c r="M25" s="12">
        <f t="shared" si="18"/>
        <v>13249.36</v>
      </c>
      <c r="S25" s="20"/>
      <c r="T25" s="21"/>
      <c r="U25" s="22"/>
    </row>
    <row r="26" spans="1:21" ht="15">
      <c r="B26" s="7"/>
      <c r="L26" s="13" t="str">
        <f t="shared" ref="L26:M26" si="19">L11</f>
        <v>Sep</v>
      </c>
      <c r="M26" s="12">
        <f t="shared" si="19"/>
        <v>33596.71</v>
      </c>
      <c r="S26" s="20"/>
      <c r="T26" s="21"/>
      <c r="U26" s="22"/>
    </row>
    <row r="27" spans="1:21" ht="15">
      <c r="A27" t="str">
        <f t="shared" ref="A27:A32" si="20">A19</f>
        <v>Beauty</v>
      </c>
      <c r="B27" s="8">
        <f>IFERROR(VLOOKUP(A27,$A$19:$B$24,2,0),"")</f>
        <v>29182.06</v>
      </c>
      <c r="L27" s="13" t="str">
        <f t="shared" ref="L27:M27" si="21">L12</f>
        <v>Oct</v>
      </c>
      <c r="M27" s="12">
        <f t="shared" si="21"/>
        <v>10508.74</v>
      </c>
      <c r="S27" s="20"/>
      <c r="T27" s="21"/>
      <c r="U27" s="22"/>
    </row>
    <row r="28" spans="1:21" ht="15">
      <c r="A28" t="str">
        <f>A20</f>
        <v>Clothing</v>
      </c>
      <c r="B28" s="8">
        <f>IFERROR(VLOOKUP(A28,$A$19:$B$24,2,0),"")</f>
        <v>27014.35</v>
      </c>
      <c r="L28" s="13" t="str">
        <f t="shared" ref="L28:M28" si="22">L13</f>
        <v>Nov</v>
      </c>
      <c r="M28" s="12">
        <f t="shared" si="22"/>
        <v>9270.7800000000007</v>
      </c>
      <c r="S28" s="20"/>
      <c r="T28" s="21"/>
      <c r="U28" s="22"/>
    </row>
    <row r="29" spans="1:21" ht="15">
      <c r="A29" t="str">
        <f t="shared" si="20"/>
        <v>Electronics</v>
      </c>
      <c r="B29" s="8">
        <f t="shared" ref="B29:B32" si="23">IFERROR(VLOOKUP(A29,$A$19:$B$24,2,0),"")</f>
        <v>39309.78</v>
      </c>
      <c r="L29" s="13" t="str">
        <f t="shared" ref="L29:M29" si="24">L14</f>
        <v>Dec</v>
      </c>
      <c r="M29" s="12">
        <f t="shared" si="24"/>
        <v>5120.4799999999996</v>
      </c>
      <c r="S29" s="20"/>
      <c r="T29" s="21"/>
      <c r="U29" s="22"/>
    </row>
    <row r="30" spans="1:21" ht="15">
      <c r="A30" t="str">
        <f t="shared" si="20"/>
        <v>Home Goods</v>
      </c>
      <c r="B30" s="8">
        <f t="shared" si="23"/>
        <v>51359.74</v>
      </c>
      <c r="L30" s="13" t="str">
        <f t="shared" ref="L30:M30" si="25">L15</f>
        <v>Grand Total</v>
      </c>
      <c r="M30" s="12">
        <f t="shared" si="25"/>
        <v>208771.31</v>
      </c>
      <c r="S30" s="20"/>
      <c r="T30" s="21"/>
      <c r="U30" s="22"/>
    </row>
    <row r="31" spans="1:21">
      <c r="A31" t="str">
        <f t="shared" si="20"/>
        <v>Sports</v>
      </c>
      <c r="B31" s="8">
        <f t="shared" si="23"/>
        <v>61905.38</v>
      </c>
      <c r="S31" s="20"/>
      <c r="T31" s="21"/>
      <c r="U31" s="22"/>
    </row>
    <row r="32" spans="1:21">
      <c r="A32" t="str">
        <f t="shared" si="20"/>
        <v>Grand Total</v>
      </c>
      <c r="B32" s="8">
        <f t="shared" si="23"/>
        <v>208771.31</v>
      </c>
      <c r="S32" s="20"/>
      <c r="T32" s="21"/>
      <c r="U32" s="22"/>
    </row>
    <row r="33" spans="19:21">
      <c r="S33" s="23"/>
      <c r="T33" s="24"/>
      <c r="U33" s="25"/>
    </row>
  </sheetData>
  <mergeCells count="8">
    <mergeCell ref="A17:B17"/>
    <mergeCell ref="H1:I1"/>
    <mergeCell ref="L1:M1"/>
    <mergeCell ref="R1:T1"/>
    <mergeCell ref="S15:T15"/>
    <mergeCell ref="O1:P1"/>
    <mergeCell ref="A1:B1"/>
    <mergeCell ref="E1:F1"/>
  </mergeCells>
  <pageMargins left="0.7" right="0.7" top="0.75" bottom="0.75" header="0.3" footer="0.3"/>
  <pageSetup orientation="portrait" r:id="rId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DDE4552F-E0FE-4009-B47E-AF88B57C7F19}">
  <ds:schemaRefs/>
</ds:datastoreItem>
</file>

<file path=customXml/itemProps2.xml><?xml version="1.0" encoding="utf-8"?>
<ds:datastoreItem xmlns:ds="http://schemas.openxmlformats.org/officeDocument/2006/customXml" ds:itemID="{0635397C-AE31-450F-AA00-7B7E1819F919}">
  <ds:schemaRefs/>
</ds:datastoreItem>
</file>

<file path=customXml/itemProps3.xml><?xml version="1.0" encoding="utf-8"?>
<ds:datastoreItem xmlns:ds="http://schemas.openxmlformats.org/officeDocument/2006/customXml" ds:itemID="{E0B95410-D44E-476A-A700-9ABB38D34F79}">
  <ds:schemaRefs/>
</ds:datastoreItem>
</file>

<file path=customXml/itemProps4.xml><?xml version="1.0" encoding="utf-8"?>
<ds:datastoreItem xmlns:ds="http://schemas.openxmlformats.org/officeDocument/2006/customXml" ds:itemID="{5A59BDE6-3194-4EFB-BD0A-E017FB7065AD}">
  <ds:schemaRefs/>
</ds:datastoreItem>
</file>

<file path=customXml/itemProps5.xml><?xml version="1.0" encoding="utf-8"?>
<ds:datastoreItem xmlns:ds="http://schemas.openxmlformats.org/officeDocument/2006/customXml" ds:itemID="{6E8C5DC0-07E7-4D71-B2F7-0E51AEC8BC1B}">
  <ds:schemaRefs/>
</ds:datastoreItem>
</file>

<file path=customXml/itemProps6.xml><?xml version="1.0" encoding="utf-8"?>
<ds:datastoreItem xmlns:ds="http://schemas.openxmlformats.org/officeDocument/2006/customXml" ds:itemID="{9D85BDAE-7465-449E-A55B-CDC6EF799EA8}">
  <ds:schemaRefs/>
</ds:datastoreItem>
</file>

<file path=customXml/itemProps7.xml><?xml version="1.0" encoding="utf-8"?>
<ds:datastoreItem xmlns:ds="http://schemas.openxmlformats.org/officeDocument/2006/customXml" ds:itemID="{E5EAC4FE-4E9A-4736-932E-391009FC1973}">
  <ds:schemaRefs/>
</ds:datastoreItem>
</file>

<file path=customXml/itemProps8.xml><?xml version="1.0" encoding="utf-8"?>
<ds:datastoreItem xmlns:ds="http://schemas.openxmlformats.org/officeDocument/2006/customXml" ds:itemID="{F20FF938-771B-4F56-B31D-AB22DD20BD24}">
  <ds:schemaRefs/>
</ds:datastoreItem>
</file>

<file path=customXml/itemProps9.xml><?xml version="1.0" encoding="utf-8"?>
<ds:datastoreItem xmlns:ds="http://schemas.openxmlformats.org/officeDocument/2006/customXml" ds:itemID="{2F889FCD-0C95-435F-9FDB-B0C5DFB022D9}">
  <ds:schemaRefs/>
</ds:datastoreItem>
</file>

<file path=customXml/itemProps10.xml><?xml version="1.0" encoding="utf-8"?>
<ds:datastoreItem xmlns:ds="http://schemas.openxmlformats.org/officeDocument/2006/customXml" ds:itemID="{5DFA1A5F-B32E-4EDA-AC0F-36ABE31CC5C8}">
  <ds:schemaRefs/>
</ds:datastoreItem>
</file>

<file path=customXml/itemProps11.xml><?xml version="1.0" encoding="utf-8"?>
<ds:datastoreItem xmlns:ds="http://schemas.openxmlformats.org/officeDocument/2006/customXml" ds:itemID="{D4AB35E7-C8C7-4BB5-BC6F-55F9702F21E6}">
  <ds:schemaRefs/>
</ds:datastoreItem>
</file>

<file path=customXml/itemProps12.xml><?xml version="1.0" encoding="utf-8"?>
<ds:datastoreItem xmlns:ds="http://schemas.openxmlformats.org/officeDocument/2006/customXml" ds:itemID="{7C7CC182-C8F8-49C5-BDB1-4344D30F59DA}">
  <ds:schemaRefs/>
</ds:datastoreItem>
</file>

<file path=customXml/itemProps13.xml><?xml version="1.0" encoding="utf-8"?>
<ds:datastoreItem xmlns:ds="http://schemas.openxmlformats.org/officeDocument/2006/customXml" ds:itemID="{A6D0C69F-B8CE-4922-B1F9-77D3550B94B1}">
  <ds:schemaRefs/>
</ds:datastoreItem>
</file>

<file path=customXml/itemProps14.xml><?xml version="1.0" encoding="utf-8"?>
<ds:datastoreItem xmlns:ds="http://schemas.openxmlformats.org/officeDocument/2006/customXml" ds:itemID="{E8F6EBB0-8D50-4543-B93A-45259AE4AD4A}">
  <ds:schemaRefs/>
</ds:datastoreItem>
</file>

<file path=customXml/itemProps15.xml><?xml version="1.0" encoding="utf-8"?>
<ds:datastoreItem xmlns:ds="http://schemas.openxmlformats.org/officeDocument/2006/customXml" ds:itemID="{5EBBC1D3-5AA4-47B6-8F64-3968B027CE08}">
  <ds:schemaRefs/>
</ds:datastoreItem>
</file>

<file path=customXml/itemProps16.xml><?xml version="1.0" encoding="utf-8"?>
<ds:datastoreItem xmlns:ds="http://schemas.openxmlformats.org/officeDocument/2006/customXml" ds:itemID="{81669528-183A-41A5-9BFF-D705C5BF6CD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Table Data</vt:lpstr>
      <vt:lpstr>Piviot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Mahmoud Yasser</dc:creator>
  <cp:lastModifiedBy>Pro</cp:lastModifiedBy>
  <dcterms:created xsi:type="dcterms:W3CDTF">2025-01-09T17:40:39Z</dcterms:created>
  <dcterms:modified xsi:type="dcterms:W3CDTF">2026-01-13T19:34:33Z</dcterms:modified>
</cp:coreProperties>
</file>